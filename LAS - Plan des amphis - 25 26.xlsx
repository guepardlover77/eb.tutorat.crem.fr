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 BAS" sheetId="1" r:id="rId5"/>
    <sheet state="visible" name="COME HAUT" sheetId="2" r:id="rId6"/>
    <sheet state="visible" name="DEBRE GAUCHE" sheetId="3" r:id="rId7"/>
    <sheet state="visible" name="DEBRE DROIT" sheetId="4" r:id="rId8"/>
    <sheet state="visible" name="DEBRE HAUT" sheetId="5" r:id="rId9"/>
    <sheet state="visible" name="RAMBAUD" sheetId="6" r:id="rId10"/>
    <sheet state="visible" name="TOURETTE" sheetId="7" r:id="rId11"/>
    <sheet state="visible" name="BEAUCHAMP" sheetId="8" r:id="rId12"/>
    <sheet state="visible" name="ESTREM" sheetId="9" r:id="rId13"/>
    <sheet state="visible" name="LEFEVRE" sheetId="10" r:id="rId14"/>
  </sheets>
  <definedNames/>
  <calcPr/>
</workbook>
</file>

<file path=xl/sharedStrings.xml><?xml version="1.0" encoding="utf-8"?>
<sst xmlns="http://schemas.openxmlformats.org/spreadsheetml/2006/main" count="41" uniqueCount="25">
  <si>
    <t>Place
handicapée</t>
  </si>
  <si>
    <t>Table 1</t>
  </si>
  <si>
    <t>Table 2</t>
  </si>
  <si>
    <t>PORTE
ENTREE</t>
  </si>
  <si>
    <t>Bureau Côme</t>
  </si>
  <si>
    <t>COME HAUT</t>
  </si>
  <si>
    <t>Entrée par la porte du haut</t>
  </si>
  <si>
    <t>PORTE ENTREE</t>
  </si>
  <si>
    <t>webex</t>
  </si>
  <si>
    <t>Bureau Debré Gauche</t>
  </si>
  <si>
    <t>PORTE  ENTREE</t>
  </si>
  <si>
    <t>Bureau Debré Droit</t>
  </si>
  <si>
    <t>DEBRE HAUT</t>
  </si>
  <si>
    <t>Attention l'entrée se fera par la porte d'en haut accessible en passant devant le CREM</t>
  </si>
  <si>
    <t>RAMBAUD</t>
  </si>
  <si>
    <t>Webex</t>
  </si>
  <si>
    <t>(è</t>
  </si>
  <si>
    <t>Bureau Rambaud</t>
  </si>
  <si>
    <t>TOURETTE</t>
  </si>
  <si>
    <t>Bureau Tourette</t>
  </si>
  <si>
    <t>table 1</t>
  </si>
  <si>
    <t>table 2</t>
  </si>
  <si>
    <t>Bureau Beauchamp</t>
  </si>
  <si>
    <t>Bureau Estrem</t>
  </si>
  <si>
    <t>Bureau Levefre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</si>
</sst>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b/>
      <sz val="8.0"/>
      <color theme="1"/>
      <name val="Calibri"/>
    </font>
    <font>
      <color theme="1"/>
      <name val="Arial"/>
      <scheme val="minor"/>
    </font>
    <font>
      <b/>
      <sz val="10.0"/>
      <color theme="1"/>
      <name val="Calibri"/>
    </font>
    <font>
      <b/>
      <sz val="13.0"/>
      <color theme="1"/>
      <name val="Calibri"/>
    </font>
    <font/>
    <font>
      <b/>
      <sz val="30.0"/>
      <color theme="1"/>
      <name val="Calibri"/>
    </font>
    <font>
      <b/>
      <sz val="11.0"/>
      <color rgb="FFFF0000"/>
      <name val="Arial"/>
    </font>
    <font>
      <b/>
      <sz val="9.0"/>
      <color theme="1"/>
      <name val="Arial"/>
    </font>
    <font>
      <b/>
      <sz val="15.0"/>
      <color theme="1"/>
      <name val="Calibri"/>
    </font>
    <font>
      <color theme="1"/>
      <name val="Calibri"/>
    </font>
    <font>
      <b/>
      <sz val="12.0"/>
      <color theme="1"/>
      <name val="Calibri"/>
    </font>
    <font>
      <sz val="9.0"/>
      <color theme="1"/>
      <name val="Calibri"/>
    </font>
    <font>
      <b/>
      <sz val="9.0"/>
      <color theme="1"/>
      <name val="Arial"/>
      <scheme val="minor"/>
    </font>
    <font>
      <b/>
      <sz val="27.0"/>
      <color theme="1"/>
      <name val="Calibri"/>
    </font>
    <font>
      <b/>
      <sz val="30.0"/>
      <color theme="1"/>
      <name val="Arial"/>
    </font>
    <font>
      <b/>
      <sz val="11.0"/>
      <color rgb="FFFF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79646"/>
        <bgColor rgb="FFF79646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0504D"/>
        <bgColor rgb="FFC0504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3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vertical="bottom"/>
    </xf>
    <xf borderId="2" fillId="3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3" fillId="3" fontId="2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2" fillId="3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2" fontId="1" numFmtId="0" xfId="0" applyAlignment="1" applyFont="1">
      <alignment vertical="bottom"/>
    </xf>
    <xf borderId="4" fillId="3" fontId="2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5" fillId="3" fontId="2" numFmtId="0" xfId="0" applyAlignment="1" applyBorder="1" applyFont="1">
      <alignment horizontal="center" vertical="bottom"/>
    </xf>
    <xf borderId="7" fillId="0" fontId="4" numFmtId="0" xfId="0" applyBorder="1" applyFont="1"/>
    <xf borderId="0" fillId="4" fontId="5" numFmtId="0" xfId="0" applyAlignment="1" applyFill="1" applyFont="1">
      <alignment horizontal="center" readingOrder="0" vertical="center"/>
    </xf>
    <xf borderId="8" fillId="5" fontId="6" numFmtId="0" xfId="0" applyAlignment="1" applyBorder="1" applyFill="1" applyFont="1">
      <alignment horizontal="center" vertical="bottom"/>
    </xf>
    <xf borderId="7" fillId="0" fontId="7" numFmtId="0" xfId="0" applyBorder="1" applyFont="1"/>
    <xf borderId="2" fillId="0" fontId="7" numFmtId="0" xfId="0" applyBorder="1" applyFont="1"/>
    <xf borderId="0" fillId="0" fontId="4" numFmtId="0" xfId="0" applyAlignment="1" applyFont="1">
      <alignment readingOrder="0"/>
    </xf>
    <xf borderId="9" fillId="0" fontId="8" numFmtId="0" xfId="0" applyAlignment="1" applyBorder="1" applyFont="1">
      <alignment horizontal="center" vertical="bottom"/>
    </xf>
    <xf borderId="10" fillId="0" fontId="7" numFmtId="0" xfId="0" applyBorder="1" applyFont="1"/>
    <xf borderId="11" fillId="0" fontId="7" numFmtId="0" xfId="0" applyBorder="1" applyFont="1"/>
    <xf borderId="0" fillId="6" fontId="9" numFmtId="0" xfId="0" applyAlignment="1" applyFill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4" fontId="10" numFmtId="0" xfId="0" applyAlignment="1" applyFont="1">
      <alignment readingOrder="0" vertical="bottom"/>
    </xf>
    <xf borderId="7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12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13" fillId="5" fontId="1" numFmtId="0" xfId="0" applyAlignment="1" applyBorder="1" applyFont="1">
      <alignment vertical="bottom"/>
    </xf>
    <xf borderId="5" fillId="5" fontId="1" numFmtId="0" xfId="0" applyAlignment="1" applyBorder="1" applyFont="1">
      <alignment vertical="bottom"/>
    </xf>
    <xf borderId="6" fillId="5" fontId="1" numFmtId="0" xfId="0" applyAlignment="1" applyBorder="1" applyFont="1">
      <alignment vertical="bottom"/>
    </xf>
    <xf borderId="9" fillId="0" fontId="11" numFmtId="0" xfId="0" applyAlignment="1" applyBorder="1" applyFont="1">
      <alignment horizontal="center" vertical="bottom"/>
    </xf>
    <xf borderId="0" fillId="0" fontId="10" numFmtId="0" xfId="0" applyAlignment="1" applyFont="1">
      <alignment readingOrder="0" vertical="center"/>
    </xf>
    <xf borderId="0" fillId="0" fontId="1" numFmtId="0" xfId="0" applyAlignment="1" applyFont="1">
      <alignment readingOrder="0" vertical="bottom"/>
    </xf>
    <xf borderId="2" fillId="2" fontId="1" numFmtId="0" xfId="0" applyBorder="1" applyFont="1"/>
    <xf borderId="1" fillId="0" fontId="1" numFmtId="0" xfId="0" applyBorder="1" applyFont="1"/>
    <xf borderId="7" fillId="2" fontId="1" numFmtId="0" xfId="0" applyBorder="1" applyFont="1"/>
    <xf borderId="2" fillId="0" fontId="1" numFmtId="0" xfId="0" applyBorder="1" applyFont="1"/>
    <xf borderId="2" fillId="3" fontId="2" numFmtId="0" xfId="0" applyAlignment="1" applyBorder="1" applyFont="1">
      <alignment horizontal="center"/>
    </xf>
    <xf borderId="6" fillId="0" fontId="1" numFmtId="0" xfId="0" applyBorder="1" applyFont="1"/>
    <xf borderId="3" fillId="0" fontId="1" numFmtId="0" xfId="0" applyBorder="1" applyFont="1"/>
    <xf borderId="3" fillId="3" fontId="2" numFmtId="0" xfId="0" applyAlignment="1" applyBorder="1" applyFont="1">
      <alignment horizontal="center"/>
    </xf>
    <xf borderId="13" fillId="0" fontId="1" numFmtId="0" xfId="0" applyBorder="1" applyFont="1"/>
    <xf borderId="5" fillId="3" fontId="12" numFmtId="0" xfId="0" applyAlignment="1" applyBorder="1" applyFont="1">
      <alignment horizontal="center"/>
    </xf>
    <xf borderId="7" fillId="7" fontId="13" numFmtId="0" xfId="0" applyAlignment="1" applyBorder="1" applyFill="1" applyFont="1">
      <alignment horizontal="center" readingOrder="0"/>
    </xf>
    <xf borderId="7" fillId="3" fontId="2" numFmtId="0" xfId="0" applyAlignment="1" applyBorder="1" applyFont="1">
      <alignment horizontal="center"/>
    </xf>
    <xf borderId="5" fillId="0" fontId="1" numFmtId="0" xfId="0" applyBorder="1" applyFont="1"/>
    <xf borderId="5" fillId="3" fontId="14" numFmtId="0" xfId="0" applyAlignment="1" applyBorder="1" applyFont="1">
      <alignment horizontal="center"/>
    </xf>
    <xf borderId="0" fillId="0" fontId="1" numFmtId="0" xfId="0" applyFont="1"/>
    <xf borderId="14" fillId="0" fontId="1" numFmtId="0" xfId="0" applyAlignment="1" applyBorder="1" applyFont="1">
      <alignment vertical="bottom"/>
    </xf>
    <xf borderId="14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9" fillId="5" fontId="8" numFmtId="0" xfId="0" applyAlignment="1" applyBorder="1" applyFont="1">
      <alignment horizontal="center"/>
    </xf>
    <xf borderId="14" fillId="0" fontId="4" numFmtId="0" xfId="0" applyBorder="1" applyFont="1"/>
    <xf borderId="8" fillId="0" fontId="4" numFmtId="0" xfId="0" applyBorder="1" applyFont="1"/>
    <xf borderId="7" fillId="4" fontId="15" numFmtId="0" xfId="0" applyAlignment="1" applyBorder="1" applyFont="1">
      <alignment readingOrder="0"/>
    </xf>
    <xf borderId="2" fillId="2" fontId="2" numFmtId="0" xfId="0" applyAlignment="1" applyBorder="1" applyFont="1">
      <alignment horizontal="center" vertical="bottom"/>
    </xf>
    <xf borderId="2" fillId="7" fontId="2" numFmtId="0" xfId="0" applyAlignment="1" applyBorder="1" applyFont="1">
      <alignment horizontal="center" readingOrder="0" vertical="bottom"/>
    </xf>
    <xf borderId="6" fillId="3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7" fillId="5" fontId="16" numFmtId="0" xfId="0" applyAlignment="1" applyBorder="1" applyFont="1">
      <alignment horizontal="center"/>
    </xf>
    <xf borderId="14" fillId="0" fontId="1" numFmtId="0" xfId="0" applyBorder="1" applyFont="1"/>
    <xf borderId="2" fillId="0" fontId="4" numFmtId="0" xfId="0" applyBorder="1" applyFont="1"/>
    <xf borderId="0" fillId="0" fontId="4" numFmtId="0" xfId="0" applyFont="1"/>
    <xf borderId="0" fillId="0" fontId="2" numFmtId="0" xfId="0" applyAlignment="1" applyFont="1">
      <alignment horizontal="center" vertical="bottom"/>
    </xf>
    <xf borderId="15" fillId="3" fontId="2" numFmtId="0" xfId="0" applyAlignment="1" applyBorder="1" applyFont="1">
      <alignment horizontal="center" vertical="bottom"/>
    </xf>
    <xf borderId="11" fillId="2" fontId="1" numFmtId="0" xfId="0" applyAlignment="1" applyBorder="1" applyFont="1">
      <alignment vertical="bottom"/>
    </xf>
    <xf borderId="11" fillId="3" fontId="2" numFmtId="0" xfId="0" applyAlignment="1" applyBorder="1" applyFont="1">
      <alignment horizontal="center" vertical="bottom"/>
    </xf>
    <xf borderId="16" fillId="2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17" fillId="2" fontId="1" numFmtId="0" xfId="0" applyAlignment="1" applyBorder="1" applyFont="1">
      <alignment vertical="bottom"/>
    </xf>
    <xf borderId="12" fillId="3" fontId="2" numFmtId="0" xfId="0" applyAlignment="1" applyBorder="1" applyFont="1">
      <alignment horizontal="center" vertical="bottom"/>
    </xf>
    <xf borderId="7" fillId="2" fontId="1" numFmtId="0" xfId="0" applyAlignment="1" applyBorder="1" applyFont="1">
      <alignment vertical="bottom"/>
    </xf>
    <xf borderId="0" fillId="4" fontId="10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bottom"/>
    </xf>
    <xf borderId="0" fillId="0" fontId="18" numFmtId="0" xfId="0" applyAlignment="1" applyFont="1">
      <alignment readingOrder="0"/>
    </xf>
    <xf borderId="9" fillId="0" fontId="17" numFmtId="0" xfId="0" applyAlignment="1" applyBorder="1" applyFont="1">
      <alignment horizontal="center" vertical="bottom"/>
    </xf>
    <xf borderId="7" fillId="0" fontId="1" numFmtId="0" xfId="0" applyBorder="1" applyFont="1"/>
    <xf borderId="18" fillId="3" fontId="2" numFmtId="0" xfId="0" applyAlignment="1" applyBorder="1" applyFont="1">
      <alignment horizontal="center" vertical="bottom"/>
    </xf>
    <xf borderId="2" fillId="7" fontId="12" numFmtId="0" xfId="0" applyAlignment="1" applyBorder="1" applyFont="1">
      <alignment horizontal="center" vertical="bottom"/>
    </xf>
    <xf borderId="19" fillId="3" fontId="2" numFmtId="0" xfId="0" applyAlignment="1" applyBorder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1" fillId="0" fontId="4" numFmtId="0" xfId="0" applyBorder="1" applyFont="1"/>
    <xf borderId="9" fillId="5" fontId="19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vertical="bottom"/>
    </xf>
    <xf borderId="0" fillId="4" fontId="15" numFmtId="0" xfId="0" applyAlignment="1" applyFont="1">
      <alignment horizontal="center" readingOrder="0" vertical="center"/>
    </xf>
    <xf borderId="0" fillId="0" fontId="15" numFmtId="0" xfId="0" applyAlignment="1" applyFont="1">
      <alignment horizontal="center" readingOrder="0"/>
    </xf>
    <xf borderId="9" fillId="0" fontId="8" numFmtId="0" xfId="0" applyAlignment="1" applyBorder="1" applyFont="1">
      <alignment horizontal="center"/>
    </xf>
    <xf borderId="2" fillId="7" fontId="14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9" fillId="5" fontId="20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/>
    </xf>
    <xf borderId="0" fillId="4" fontId="15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15" fillId="2" fontId="2" numFmtId="0" xfId="0" applyAlignment="1" applyBorder="1" applyFont="1">
      <alignment horizontal="center" readingOrder="0" vertical="bottom"/>
    </xf>
    <xf borderId="15" fillId="2" fontId="2" numFmtId="0" xfId="0" applyAlignment="1" applyBorder="1" applyFont="1">
      <alignment vertical="bottom"/>
    </xf>
    <xf borderId="15" fillId="3" fontId="2" numFmtId="0" xfId="0" applyAlignment="1" applyBorder="1" applyFont="1">
      <alignment horizontal="center" readingOrder="0" vertical="bottom"/>
    </xf>
    <xf borderId="15" fillId="2" fontId="2" numFmtId="0" xfId="0" applyAlignment="1" applyBorder="1" applyFont="1">
      <alignment readingOrder="0" vertical="bottom"/>
    </xf>
    <xf borderId="15" fillId="2" fontId="2" numFmtId="0" xfId="0" applyAlignment="1" applyBorder="1" applyFont="1">
      <alignment horizontal="center" vertical="bottom"/>
    </xf>
    <xf borderId="15" fillId="7" fontId="2" numFmtId="0" xfId="0" applyAlignment="1" applyBorder="1" applyFont="1">
      <alignment horizontal="center" readingOrder="0" vertical="bottom"/>
    </xf>
    <xf borderId="20" fillId="2" fontId="2" numFmtId="0" xfId="0" applyAlignment="1" applyBorder="1" applyFont="1">
      <alignment horizontal="center" vertical="bottom"/>
    </xf>
    <xf borderId="21" fillId="3" fontId="2" numFmtId="0" xfId="0" applyAlignment="1" applyBorder="1" applyFont="1">
      <alignment horizontal="center" readingOrder="0" vertical="bottom"/>
    </xf>
    <xf borderId="22" fillId="2" fontId="2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/>
    </xf>
    <xf borderId="0" fillId="0" fontId="2" numFmtId="0" xfId="0" applyFont="1"/>
    <xf borderId="9" fillId="8" fontId="2" numFmtId="0" xfId="0" applyAlignment="1" applyBorder="1" applyFill="1" applyFont="1">
      <alignment horizontal="center" readingOrder="0" vertical="bottom"/>
    </xf>
    <xf borderId="0" fillId="4" fontId="10" numFmtId="0" xfId="0" applyAlignment="1" applyFont="1">
      <alignment horizontal="center" readingOrder="0" vertical="bottom"/>
    </xf>
    <xf borderId="0" fillId="9" fontId="2" numFmtId="0" xfId="0" applyAlignment="1" applyFill="1" applyFont="1">
      <alignment horizontal="center" vertical="bottom"/>
    </xf>
    <xf borderId="15" fillId="2" fontId="1" numFmtId="0" xfId="0" applyAlignment="1" applyBorder="1" applyFont="1">
      <alignment vertical="bottom"/>
    </xf>
    <xf borderId="15" fillId="3" fontId="2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9" fontId="1" numFmtId="0" xfId="0" applyAlignment="1" applyFont="1">
      <alignment vertical="bottom"/>
    </xf>
    <xf borderId="0" fillId="9" fontId="2" numFmtId="0" xfId="0" applyAlignment="1" applyFont="1">
      <alignment readingOrder="0" vertical="bottom"/>
    </xf>
    <xf borderId="7" fillId="3" fontId="2" numFmtId="0" xfId="0" applyAlignment="1" applyBorder="1" applyFont="1">
      <alignment horizontal="center" vertical="bottom"/>
    </xf>
    <xf borderId="0" fillId="2" fontId="4" numFmtId="0" xfId="0" applyFont="1"/>
    <xf borderId="15" fillId="3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6.25"/>
  </cols>
  <sheetData>
    <row r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</row>
    <row r="2">
      <c r="A2" s="1"/>
      <c r="B2" s="2"/>
      <c r="C2" s="4">
        <v>30.0</v>
      </c>
      <c r="D2" s="2"/>
      <c r="E2" s="4">
        <v>32.0</v>
      </c>
      <c r="F2" s="1"/>
      <c r="G2" s="4">
        <v>150.0</v>
      </c>
      <c r="H2" s="2"/>
      <c r="I2" s="4">
        <v>152.0</v>
      </c>
      <c r="J2" s="2"/>
      <c r="K2" s="4">
        <v>154.0</v>
      </c>
      <c r="L2" s="2"/>
      <c r="M2" s="4">
        <v>156.0</v>
      </c>
      <c r="N2" s="2"/>
      <c r="O2" s="4">
        <v>158.0</v>
      </c>
      <c r="P2" s="2"/>
      <c r="Q2" s="4">
        <v>160.0</v>
      </c>
      <c r="R2" s="2"/>
      <c r="S2" s="1"/>
      <c r="T2" s="4">
        <v>313.0</v>
      </c>
      <c r="U2" s="2"/>
      <c r="V2" s="4">
        <v>311.0</v>
      </c>
      <c r="W2" s="2"/>
    </row>
    <row r="3">
      <c r="A3" s="1"/>
      <c r="B3" s="2"/>
      <c r="C3" s="4">
        <v>27.0</v>
      </c>
      <c r="D3" s="2"/>
      <c r="E3" s="4">
        <v>25.0</v>
      </c>
      <c r="F3" s="1"/>
      <c r="G3" s="4">
        <v>149.0</v>
      </c>
      <c r="H3" s="2"/>
      <c r="I3" s="4">
        <v>147.0</v>
      </c>
      <c r="J3" s="2"/>
      <c r="K3" s="4">
        <v>145.0</v>
      </c>
      <c r="L3" s="2"/>
      <c r="M3" s="4">
        <v>143.0</v>
      </c>
      <c r="N3" s="2"/>
      <c r="O3" s="4">
        <v>141.0</v>
      </c>
      <c r="P3" s="2"/>
      <c r="Q3" s="4">
        <v>139.0</v>
      </c>
      <c r="R3" s="2"/>
      <c r="S3" s="1"/>
      <c r="T3" s="4">
        <v>306.0</v>
      </c>
      <c r="U3" s="2"/>
      <c r="V3" s="4">
        <v>308.0</v>
      </c>
      <c r="W3" s="2"/>
    </row>
    <row r="4">
      <c r="A4" s="1"/>
      <c r="B4" s="2"/>
      <c r="C4" s="4">
        <v>22.0</v>
      </c>
      <c r="D4" s="2"/>
      <c r="E4" s="4">
        <v>24.0</v>
      </c>
      <c r="F4" s="1"/>
      <c r="G4" s="4">
        <v>126.0</v>
      </c>
      <c r="H4" s="2"/>
      <c r="I4" s="4">
        <v>128.0</v>
      </c>
      <c r="J4" s="2"/>
      <c r="K4" s="4">
        <v>130.0</v>
      </c>
      <c r="L4" s="2"/>
      <c r="M4" s="4">
        <v>132.0</v>
      </c>
      <c r="N4" s="2"/>
      <c r="O4" s="4">
        <v>134.0</v>
      </c>
      <c r="P4" s="2"/>
      <c r="Q4" s="4">
        <v>136.0</v>
      </c>
      <c r="R4" s="2"/>
      <c r="S4" s="1"/>
      <c r="T4" s="4">
        <v>305.0</v>
      </c>
      <c r="U4" s="2"/>
      <c r="V4" s="4">
        <v>303.0</v>
      </c>
      <c r="W4" s="2"/>
    </row>
    <row r="5">
      <c r="A5" s="1"/>
      <c r="B5" s="2"/>
      <c r="C5" s="4">
        <v>19.0</v>
      </c>
      <c r="D5" s="2"/>
      <c r="E5" s="4">
        <v>17.0</v>
      </c>
      <c r="F5" s="1"/>
      <c r="G5" s="4">
        <v>125.0</v>
      </c>
      <c r="H5" s="2"/>
      <c r="I5" s="4">
        <v>123.0</v>
      </c>
      <c r="J5" s="2"/>
      <c r="K5" s="4">
        <v>121.0</v>
      </c>
      <c r="L5" s="2"/>
      <c r="M5" s="4">
        <v>119.0</v>
      </c>
      <c r="N5" s="2"/>
      <c r="O5" s="4">
        <v>117.0</v>
      </c>
      <c r="P5" s="2"/>
      <c r="Q5" s="4">
        <v>115.0</v>
      </c>
      <c r="R5" s="2"/>
      <c r="S5" s="1"/>
      <c r="T5" s="4">
        <v>298.0</v>
      </c>
      <c r="U5" s="2"/>
      <c r="V5" s="4">
        <v>300.0</v>
      </c>
      <c r="W5" s="2"/>
    </row>
    <row r="6">
      <c r="A6" s="1"/>
      <c r="B6" s="2"/>
      <c r="C6" s="4">
        <v>14.0</v>
      </c>
      <c r="D6" s="2"/>
      <c r="E6" s="4">
        <v>16.0</v>
      </c>
      <c r="F6" s="1"/>
      <c r="G6" s="4">
        <v>102.0</v>
      </c>
      <c r="H6" s="2"/>
      <c r="I6" s="4">
        <v>104.0</v>
      </c>
      <c r="J6" s="2"/>
      <c r="K6" s="4">
        <v>106.0</v>
      </c>
      <c r="L6" s="2"/>
      <c r="M6" s="4">
        <v>108.0</v>
      </c>
      <c r="N6" s="2"/>
      <c r="O6" s="4">
        <v>110.0</v>
      </c>
      <c r="P6" s="2"/>
      <c r="Q6" s="4">
        <v>112.0</v>
      </c>
      <c r="R6" s="2"/>
      <c r="S6" s="1"/>
      <c r="T6" s="4">
        <v>297.0</v>
      </c>
      <c r="U6" s="2"/>
      <c r="V6" s="4">
        <v>295.0</v>
      </c>
      <c r="W6" s="2"/>
    </row>
    <row r="7">
      <c r="A7" s="1"/>
      <c r="B7" s="2"/>
      <c r="C7" s="4">
        <v>11.0</v>
      </c>
      <c r="D7" s="2"/>
      <c r="E7" s="4">
        <v>9.0</v>
      </c>
      <c r="F7" s="1"/>
      <c r="G7" s="4">
        <v>101.0</v>
      </c>
      <c r="H7" s="2"/>
      <c r="I7" s="4">
        <v>99.0</v>
      </c>
      <c r="J7" s="2"/>
      <c r="K7" s="4">
        <v>97.0</v>
      </c>
      <c r="L7" s="2"/>
      <c r="M7" s="4">
        <v>95.0</v>
      </c>
      <c r="N7" s="2"/>
      <c r="O7" s="4">
        <v>93.0</v>
      </c>
      <c r="P7" s="2"/>
      <c r="Q7" s="4">
        <v>91.0</v>
      </c>
      <c r="R7" s="2"/>
      <c r="S7" s="1"/>
      <c r="T7" s="4">
        <v>290.0</v>
      </c>
      <c r="U7" s="2"/>
      <c r="V7" s="4">
        <v>292.0</v>
      </c>
      <c r="W7" s="2"/>
    </row>
    <row r="8">
      <c r="A8" s="5"/>
      <c r="B8" s="1"/>
      <c r="C8" s="4">
        <v>6.0</v>
      </c>
      <c r="D8" s="2"/>
      <c r="E8" s="4">
        <v>8.0</v>
      </c>
      <c r="F8" s="1"/>
      <c r="G8" s="4">
        <v>78.0</v>
      </c>
      <c r="H8" s="2"/>
      <c r="I8" s="4">
        <v>80.0</v>
      </c>
      <c r="J8" s="2"/>
      <c r="K8" s="4">
        <v>82.0</v>
      </c>
      <c r="L8" s="2"/>
      <c r="M8" s="4">
        <v>84.0</v>
      </c>
      <c r="N8" s="2"/>
      <c r="O8" s="4">
        <v>86.0</v>
      </c>
      <c r="P8" s="2"/>
      <c r="Q8" s="4">
        <v>88.0</v>
      </c>
      <c r="R8" s="2"/>
      <c r="S8" s="1"/>
      <c r="T8" s="4">
        <v>289.0</v>
      </c>
      <c r="U8" s="2"/>
      <c r="V8" s="4">
        <v>287.0</v>
      </c>
      <c r="W8" s="5"/>
    </row>
    <row r="9">
      <c r="A9" s="5"/>
      <c r="B9" s="1"/>
      <c r="C9" s="4">
        <v>5.0</v>
      </c>
      <c r="D9" s="2"/>
      <c r="E9" s="4">
        <v>3.0</v>
      </c>
      <c r="F9" s="1"/>
      <c r="G9" s="4">
        <v>77.0</v>
      </c>
      <c r="H9" s="2"/>
      <c r="I9" s="6">
        <v>75.0</v>
      </c>
      <c r="J9" s="7"/>
      <c r="K9" s="4">
        <v>73.0</v>
      </c>
      <c r="L9" s="2"/>
      <c r="M9" s="8">
        <v>71.0</v>
      </c>
      <c r="N9" s="2"/>
      <c r="O9" s="6">
        <v>69.0</v>
      </c>
      <c r="P9" s="7"/>
      <c r="Q9" s="4">
        <v>67.0</v>
      </c>
      <c r="R9" s="2"/>
      <c r="S9" s="1"/>
      <c r="T9" s="4">
        <v>284.0</v>
      </c>
      <c r="U9" s="2"/>
      <c r="V9" s="4">
        <v>286.0</v>
      </c>
      <c r="W9" s="5"/>
    </row>
    <row r="10">
      <c r="A10" s="5"/>
      <c r="B10" s="5"/>
      <c r="C10" s="1"/>
      <c r="D10" s="2"/>
      <c r="E10" s="4">
        <v>2.0</v>
      </c>
      <c r="F10" s="5"/>
      <c r="G10" s="9" t="s">
        <v>0</v>
      </c>
      <c r="H10" s="10"/>
      <c r="I10" s="11" t="s">
        <v>1</v>
      </c>
      <c r="J10" s="12"/>
      <c r="K10" s="4">
        <v>62.0</v>
      </c>
      <c r="L10" s="2"/>
      <c r="M10" s="4">
        <v>64.0</v>
      </c>
      <c r="N10" s="13"/>
      <c r="O10" s="14" t="s">
        <v>2</v>
      </c>
      <c r="P10" s="12"/>
      <c r="Q10" s="5"/>
      <c r="R10" s="5"/>
      <c r="S10" s="1"/>
      <c r="T10" s="4">
        <v>283.0</v>
      </c>
      <c r="U10" s="2"/>
      <c r="V10" s="5"/>
      <c r="W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"/>
      <c r="C12" s="5"/>
      <c r="D12" s="5"/>
      <c r="E12" s="5"/>
      <c r="F12" s="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"/>
      <c r="T12" s="5"/>
      <c r="U12" s="5"/>
      <c r="V12" s="5"/>
      <c r="W12" s="16" t="s">
        <v>3</v>
      </c>
    </row>
    <row r="13">
      <c r="G13" s="17" t="s">
        <v>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</row>
    <row r="17">
      <c r="S17" s="20">
        <v>86.0</v>
      </c>
    </row>
  </sheetData>
  <mergeCells count="2">
    <mergeCell ref="W12:W13"/>
    <mergeCell ref="G13:R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5.88"/>
  </cols>
  <sheetData>
    <row r="1">
      <c r="A1" s="5"/>
      <c r="B1" s="5"/>
      <c r="C1" s="5"/>
      <c r="D1" s="5"/>
      <c r="E1" s="5"/>
      <c r="F1" s="21" t="s">
        <v>5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3"/>
      <c r="R1" s="5"/>
      <c r="S1" s="5"/>
      <c r="T1" s="5"/>
      <c r="U1" s="5"/>
      <c r="V1" s="5"/>
      <c r="W1" s="5"/>
    </row>
    <row r="2">
      <c r="A2" s="5"/>
      <c r="B2" s="24" t="s">
        <v>6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5"/>
      <c r="S2" s="5"/>
      <c r="T2" s="5"/>
      <c r="U2" s="5"/>
      <c r="V2" s="5"/>
      <c r="W2" s="5"/>
    </row>
    <row r="3">
      <c r="A3" s="5"/>
      <c r="B3" s="5"/>
      <c r="C3" s="5"/>
      <c r="D3" s="5"/>
      <c r="E3" s="26"/>
      <c r="F3" s="2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5"/>
      <c r="B4" s="5"/>
      <c r="C4" s="5"/>
      <c r="D4" s="5"/>
      <c r="E4" s="27" t="s">
        <v>7</v>
      </c>
      <c r="G4" s="5"/>
      <c r="H4" s="5"/>
      <c r="I4" s="5"/>
      <c r="J4" s="28"/>
      <c r="K4" s="28"/>
      <c r="L4" s="28"/>
      <c r="M4" s="28"/>
      <c r="N4" s="28"/>
      <c r="O4" s="5"/>
      <c r="P4" s="5"/>
      <c r="Q4" s="5"/>
      <c r="R4" s="5"/>
      <c r="S4" s="5"/>
      <c r="T4" s="5"/>
      <c r="U4" s="5"/>
      <c r="V4" s="5"/>
      <c r="W4" s="5"/>
    </row>
    <row r="5">
      <c r="A5" s="5"/>
      <c r="B5" s="5"/>
      <c r="C5" s="5"/>
      <c r="D5" s="28"/>
      <c r="E5" s="5"/>
      <c r="F5" s="28"/>
      <c r="G5" s="28"/>
      <c r="H5" s="28"/>
      <c r="I5" s="29"/>
      <c r="J5" s="2"/>
      <c r="K5" s="2"/>
      <c r="L5" s="2"/>
      <c r="M5" s="2"/>
      <c r="N5" s="2"/>
      <c r="O5" s="28"/>
      <c r="P5" s="28"/>
      <c r="Q5" s="28"/>
      <c r="R5" s="5"/>
      <c r="S5" s="28"/>
      <c r="T5" s="5"/>
      <c r="U5" s="5"/>
      <c r="V5" s="5"/>
      <c r="W5" s="5"/>
    </row>
    <row r="6">
      <c r="A6" s="5"/>
      <c r="B6" s="5"/>
      <c r="C6" s="29"/>
      <c r="D6" s="4">
        <v>61.0</v>
      </c>
      <c r="E6" s="1"/>
      <c r="F6" s="4">
        <v>269.0</v>
      </c>
      <c r="G6" s="2"/>
      <c r="H6" s="4">
        <v>267.0</v>
      </c>
      <c r="I6" s="2"/>
      <c r="J6" s="4">
        <v>265.0</v>
      </c>
      <c r="K6" s="2"/>
      <c r="L6" s="4">
        <v>263.0</v>
      </c>
      <c r="M6" s="2"/>
      <c r="N6" s="4">
        <v>261.0</v>
      </c>
      <c r="O6" s="2"/>
      <c r="P6" s="4">
        <v>259.0</v>
      </c>
      <c r="Q6" s="2"/>
      <c r="R6" s="1"/>
      <c r="S6" s="4">
        <v>342.0</v>
      </c>
      <c r="T6" s="28"/>
      <c r="U6" s="5"/>
      <c r="V6" s="5"/>
      <c r="W6" s="5"/>
    </row>
    <row r="7">
      <c r="A7" s="5"/>
      <c r="B7" s="29"/>
      <c r="C7" s="2"/>
      <c r="D7" s="4">
        <v>60.0</v>
      </c>
      <c r="E7" s="1"/>
      <c r="F7" s="4">
        <v>246.0</v>
      </c>
      <c r="G7" s="2"/>
      <c r="H7" s="4">
        <v>248.0</v>
      </c>
      <c r="I7" s="2"/>
      <c r="J7" s="4">
        <v>250.0</v>
      </c>
      <c r="K7" s="2"/>
      <c r="L7" s="4">
        <v>252.0</v>
      </c>
      <c r="M7" s="2"/>
      <c r="N7" s="4">
        <v>254.0</v>
      </c>
      <c r="O7" s="2"/>
      <c r="P7" s="4">
        <v>256.0</v>
      </c>
      <c r="Q7" s="2"/>
      <c r="R7" s="1"/>
      <c r="S7" s="4">
        <v>341.0</v>
      </c>
      <c r="T7" s="2"/>
      <c r="U7" s="28"/>
      <c r="V7" s="5"/>
      <c r="W7" s="5"/>
    </row>
    <row r="8">
      <c r="A8" s="1"/>
      <c r="B8" s="4">
        <v>58.0</v>
      </c>
      <c r="C8" s="2"/>
      <c r="D8" s="4">
        <v>56.0</v>
      </c>
      <c r="E8" s="1"/>
      <c r="F8" s="4">
        <v>245.0</v>
      </c>
      <c r="G8" s="2"/>
      <c r="H8" s="4">
        <v>243.0</v>
      </c>
      <c r="I8" s="2"/>
      <c r="J8" s="4">
        <v>241.0</v>
      </c>
      <c r="K8" s="2"/>
      <c r="L8" s="4">
        <v>239.0</v>
      </c>
      <c r="M8" s="2"/>
      <c r="N8" s="4">
        <v>237.0</v>
      </c>
      <c r="O8" s="2"/>
      <c r="P8" s="4">
        <v>235.0</v>
      </c>
      <c r="Q8" s="2"/>
      <c r="R8" s="1"/>
      <c r="S8" s="4">
        <v>337.0</v>
      </c>
      <c r="T8" s="2"/>
      <c r="U8" s="4">
        <v>339.0</v>
      </c>
      <c r="V8" s="5"/>
      <c r="W8" s="5"/>
    </row>
    <row r="9">
      <c r="A9" s="29"/>
      <c r="B9" s="4">
        <v>53.0</v>
      </c>
      <c r="C9" s="2"/>
      <c r="D9" s="4">
        <v>55.0</v>
      </c>
      <c r="E9" s="1"/>
      <c r="F9" s="4">
        <v>222.0</v>
      </c>
      <c r="G9" s="2"/>
      <c r="H9" s="4">
        <v>224.0</v>
      </c>
      <c r="I9" s="2"/>
      <c r="J9" s="4">
        <v>226.0</v>
      </c>
      <c r="K9" s="2"/>
      <c r="L9" s="4">
        <v>228.0</v>
      </c>
      <c r="M9" s="2"/>
      <c r="N9" s="4">
        <v>230.0</v>
      </c>
      <c r="O9" s="2"/>
      <c r="P9" s="4">
        <v>232.0</v>
      </c>
      <c r="Q9" s="2"/>
      <c r="R9" s="1"/>
      <c r="S9" s="4">
        <v>336.0</v>
      </c>
      <c r="T9" s="2"/>
      <c r="U9" s="4">
        <v>334.0</v>
      </c>
      <c r="V9" s="28"/>
      <c r="W9" s="5"/>
    </row>
    <row r="10">
      <c r="A10" s="30"/>
      <c r="B10" s="4">
        <v>51.0</v>
      </c>
      <c r="C10" s="2"/>
      <c r="D10" s="4">
        <v>49.0</v>
      </c>
      <c r="E10" s="1"/>
      <c r="F10" s="4">
        <v>221.0</v>
      </c>
      <c r="G10" s="2"/>
      <c r="H10" s="4">
        <v>219.0</v>
      </c>
      <c r="I10" s="2"/>
      <c r="J10" s="4">
        <v>217.0</v>
      </c>
      <c r="K10" s="2"/>
      <c r="L10" s="4">
        <v>215.0</v>
      </c>
      <c r="M10" s="2"/>
      <c r="N10" s="4">
        <v>213.0</v>
      </c>
      <c r="O10" s="2"/>
      <c r="P10" s="4">
        <v>211.0</v>
      </c>
      <c r="Q10" s="2"/>
      <c r="R10" s="1"/>
      <c r="S10" s="4">
        <v>330.0</v>
      </c>
      <c r="T10" s="2"/>
      <c r="U10" s="4">
        <v>332.0</v>
      </c>
      <c r="V10" s="2"/>
      <c r="W10" s="5"/>
    </row>
    <row r="11">
      <c r="A11" s="30"/>
      <c r="B11" s="4">
        <v>46.0</v>
      </c>
      <c r="C11" s="2"/>
      <c r="D11" s="4">
        <v>48.0</v>
      </c>
      <c r="E11" s="1"/>
      <c r="F11" s="4">
        <v>198.0</v>
      </c>
      <c r="G11" s="2"/>
      <c r="H11" s="4">
        <v>200.0</v>
      </c>
      <c r="I11" s="2"/>
      <c r="J11" s="4">
        <v>202.0</v>
      </c>
      <c r="K11" s="2"/>
      <c r="L11" s="4">
        <v>204.0</v>
      </c>
      <c r="M11" s="2"/>
      <c r="N11" s="4">
        <v>206.0</v>
      </c>
      <c r="O11" s="2"/>
      <c r="P11" s="4">
        <v>208.0</v>
      </c>
      <c r="Q11" s="2"/>
      <c r="R11" s="1"/>
      <c r="S11" s="4">
        <v>329.0</v>
      </c>
      <c r="T11" s="2"/>
      <c r="U11" s="4">
        <v>327.0</v>
      </c>
      <c r="V11" s="2"/>
      <c r="W11" s="5"/>
    </row>
    <row r="12">
      <c r="A12" s="30"/>
      <c r="B12" s="4">
        <v>43.0</v>
      </c>
      <c r="C12" s="2"/>
      <c r="D12" s="4">
        <v>41.0</v>
      </c>
      <c r="E12" s="1"/>
      <c r="F12" s="4">
        <v>197.0</v>
      </c>
      <c r="G12" s="2"/>
      <c r="H12" s="4">
        <v>195.0</v>
      </c>
      <c r="I12" s="2"/>
      <c r="J12" s="4">
        <v>193.0</v>
      </c>
      <c r="K12" s="2"/>
      <c r="L12" s="4">
        <v>191.0</v>
      </c>
      <c r="M12" s="2"/>
      <c r="N12" s="4">
        <v>189.0</v>
      </c>
      <c r="O12" s="2"/>
      <c r="P12" s="4">
        <v>187.0</v>
      </c>
      <c r="Q12" s="2"/>
      <c r="R12" s="1"/>
      <c r="S12" s="4">
        <v>322.0</v>
      </c>
      <c r="T12" s="2"/>
      <c r="U12" s="4">
        <v>324.0</v>
      </c>
      <c r="V12" s="2"/>
      <c r="W12" s="5"/>
    </row>
    <row r="13">
      <c r="A13" s="30"/>
      <c r="B13" s="4">
        <v>38.0</v>
      </c>
      <c r="C13" s="2"/>
      <c r="D13" s="4">
        <v>40.0</v>
      </c>
      <c r="E13" s="1"/>
      <c r="F13" s="4">
        <v>174.0</v>
      </c>
      <c r="G13" s="2"/>
      <c r="H13" s="4">
        <v>176.0</v>
      </c>
      <c r="I13" s="2"/>
      <c r="J13" s="4">
        <v>178.0</v>
      </c>
      <c r="K13" s="2"/>
      <c r="L13" s="4">
        <v>180.0</v>
      </c>
      <c r="M13" s="2"/>
      <c r="N13" s="4">
        <v>182.0</v>
      </c>
      <c r="O13" s="2"/>
      <c r="P13" s="4">
        <v>184.0</v>
      </c>
      <c r="Q13" s="2"/>
      <c r="R13" s="1"/>
      <c r="S13" s="4">
        <v>321.0</v>
      </c>
      <c r="T13" s="2"/>
      <c r="U13" s="4">
        <v>319.0</v>
      </c>
      <c r="V13" s="2"/>
      <c r="W13" s="5"/>
    </row>
    <row r="14">
      <c r="A14" s="30"/>
      <c r="B14" s="4">
        <v>35.0</v>
      </c>
      <c r="C14" s="2"/>
      <c r="D14" s="4">
        <v>33.0</v>
      </c>
      <c r="E14" s="1"/>
      <c r="F14" s="4">
        <v>173.0</v>
      </c>
      <c r="G14" s="2"/>
      <c r="H14" s="4">
        <v>171.0</v>
      </c>
      <c r="I14" s="2"/>
      <c r="J14" s="4">
        <v>169.0</v>
      </c>
      <c r="K14" s="2"/>
      <c r="L14" s="4">
        <v>167.0</v>
      </c>
      <c r="M14" s="2"/>
      <c r="N14" s="4">
        <v>165.0</v>
      </c>
      <c r="O14" s="2"/>
      <c r="P14" s="4">
        <v>163.0</v>
      </c>
      <c r="Q14" s="2"/>
      <c r="R14" s="1"/>
      <c r="S14" s="4">
        <v>314.0</v>
      </c>
      <c r="T14" s="2"/>
      <c r="U14" s="4">
        <v>316.0</v>
      </c>
      <c r="V14" s="2"/>
      <c r="W14" s="5"/>
    </row>
    <row r="15">
      <c r="A15" s="31"/>
      <c r="B15" s="32"/>
      <c r="C15" s="32"/>
      <c r="D15" s="32"/>
      <c r="E15" s="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1"/>
      <c r="S15" s="32"/>
      <c r="T15" s="32"/>
      <c r="U15" s="32"/>
      <c r="V15" s="32"/>
      <c r="W15" s="5"/>
    </row>
    <row r="16">
      <c r="A16" s="31"/>
      <c r="B16" s="32"/>
      <c r="C16" s="32"/>
      <c r="D16" s="32"/>
      <c r="E16" s="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1"/>
      <c r="S16" s="32"/>
      <c r="T16" s="32"/>
      <c r="U16" s="32"/>
      <c r="V16" s="32"/>
      <c r="W16" s="5"/>
    </row>
    <row r="17">
      <c r="A17" s="31"/>
      <c r="B17" s="32"/>
      <c r="C17" s="32"/>
      <c r="D17" s="32"/>
      <c r="E17" s="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1"/>
      <c r="S17" s="32"/>
      <c r="T17" s="32"/>
      <c r="U17" s="32"/>
      <c r="V17" s="32"/>
      <c r="W17" s="5"/>
    </row>
    <row r="18">
      <c r="A18" s="31"/>
      <c r="B18" s="32"/>
      <c r="C18" s="32"/>
      <c r="D18" s="32"/>
      <c r="E18" s="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1"/>
      <c r="S18" s="32"/>
      <c r="T18" s="32"/>
      <c r="U18" s="32"/>
      <c r="V18" s="32"/>
      <c r="W18" s="5"/>
    </row>
    <row r="19">
      <c r="A19" s="31"/>
      <c r="B19" s="32"/>
      <c r="C19" s="32"/>
      <c r="D19" s="32"/>
      <c r="E19" s="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1"/>
      <c r="S19" s="32"/>
      <c r="T19" s="32"/>
      <c r="U19" s="32"/>
      <c r="V19" s="32"/>
      <c r="W19" s="5"/>
    </row>
    <row r="20">
      <c r="A20" s="31"/>
      <c r="B20" s="32"/>
      <c r="C20" s="32"/>
      <c r="D20" s="32"/>
      <c r="E20" s="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1"/>
      <c r="S20" s="32"/>
      <c r="T20" s="32"/>
      <c r="U20" s="32"/>
      <c r="V20" s="32"/>
      <c r="W20" s="5"/>
    </row>
    <row r="21">
      <c r="A21" s="1"/>
      <c r="B21" s="32"/>
      <c r="C21" s="32"/>
      <c r="D21" s="32"/>
      <c r="E21" s="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1"/>
      <c r="S21" s="32"/>
      <c r="T21" s="32"/>
      <c r="U21" s="32"/>
      <c r="V21" s="5"/>
      <c r="W21" s="5"/>
    </row>
    <row r="22">
      <c r="A22" s="1"/>
      <c r="B22" s="32"/>
      <c r="C22" s="32"/>
      <c r="D22" s="32"/>
      <c r="E22" s="1"/>
      <c r="F22" s="32"/>
      <c r="G22" s="32"/>
      <c r="H22" s="33"/>
      <c r="I22" s="33"/>
      <c r="J22" s="32"/>
      <c r="K22" s="32"/>
      <c r="L22" s="32"/>
      <c r="M22" s="32"/>
      <c r="N22" s="33"/>
      <c r="O22" s="33"/>
      <c r="P22" s="32"/>
      <c r="Q22" s="32"/>
      <c r="R22" s="1"/>
      <c r="S22" s="32"/>
      <c r="T22" s="32"/>
      <c r="U22" s="32"/>
      <c r="V22" s="5"/>
      <c r="W22" s="5"/>
    </row>
    <row r="23">
      <c r="A23" s="5"/>
      <c r="B23" s="1"/>
      <c r="C23" s="32"/>
      <c r="D23" s="32"/>
      <c r="E23" s="5"/>
      <c r="F23" s="34"/>
      <c r="G23" s="35"/>
      <c r="H23" s="36"/>
      <c r="I23" s="36"/>
      <c r="J23" s="32"/>
      <c r="K23" s="32"/>
      <c r="L23" s="32"/>
      <c r="M23" s="37"/>
      <c r="N23" s="36"/>
      <c r="O23" s="36"/>
      <c r="P23" s="5"/>
      <c r="Q23" s="5"/>
      <c r="R23" s="1"/>
      <c r="S23" s="32"/>
      <c r="T23" s="32"/>
      <c r="U23" s="5"/>
      <c r="V23" s="5"/>
      <c r="W23" s="5"/>
    </row>
    <row r="24">
      <c r="A24" s="5"/>
      <c r="B24" s="5"/>
      <c r="C24" s="5"/>
      <c r="D24" s="5"/>
      <c r="E24" s="5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5"/>
      <c r="Q24" s="5"/>
      <c r="R24" s="5"/>
      <c r="S24" s="5"/>
      <c r="T24" s="5"/>
      <c r="U24" s="5"/>
      <c r="V24" s="5"/>
      <c r="W24" s="5"/>
    </row>
    <row r="25">
      <c r="A25" s="5"/>
      <c r="B25" s="5"/>
      <c r="C25" s="5"/>
      <c r="D25" s="5"/>
      <c r="E25" s="1"/>
      <c r="F25" s="38" t="s">
        <v>4</v>
      </c>
      <c r="G25" s="22"/>
      <c r="H25" s="22"/>
      <c r="I25" s="22"/>
      <c r="J25" s="22"/>
      <c r="K25" s="22"/>
      <c r="L25" s="22"/>
      <c r="M25" s="22"/>
      <c r="N25" s="22"/>
      <c r="O25" s="23"/>
      <c r="P25" s="5"/>
      <c r="Q25" s="5"/>
      <c r="R25" s="5"/>
      <c r="S25" s="5"/>
      <c r="T25" s="5"/>
      <c r="U25" s="5"/>
      <c r="V25" s="39"/>
      <c r="W25" s="40"/>
    </row>
    <row r="26">
      <c r="V26" s="39"/>
    </row>
    <row r="27">
      <c r="R27" s="20">
        <v>86.0</v>
      </c>
    </row>
  </sheetData>
  <mergeCells count="4">
    <mergeCell ref="F1:Q1"/>
    <mergeCell ref="B2:F2"/>
    <mergeCell ref="E4:F4"/>
    <mergeCell ref="F25:O2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7" width="6.13"/>
  </cols>
  <sheetData>
    <row r="1" ht="15.75" customHeight="1">
      <c r="A1" s="1"/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  <c r="M1" s="41"/>
      <c r="N1" s="41"/>
      <c r="O1" s="41"/>
      <c r="P1" s="43"/>
      <c r="Q1" s="5"/>
    </row>
    <row r="2" ht="15.75" customHeight="1">
      <c r="A2" s="1"/>
      <c r="B2" s="44"/>
      <c r="C2" s="45">
        <v>759.0</v>
      </c>
      <c r="D2" s="44"/>
      <c r="E2" s="45">
        <v>761.0</v>
      </c>
      <c r="F2" s="44"/>
      <c r="G2" s="45">
        <v>763.0</v>
      </c>
      <c r="H2" s="42"/>
      <c r="I2" s="45">
        <v>459.0</v>
      </c>
      <c r="J2" s="44"/>
      <c r="K2" s="45">
        <v>457.0</v>
      </c>
      <c r="L2" s="44"/>
      <c r="M2" s="45">
        <v>455.0</v>
      </c>
      <c r="N2" s="44"/>
      <c r="O2" s="45">
        <v>453.0</v>
      </c>
      <c r="P2" s="44"/>
      <c r="Q2" s="5"/>
    </row>
    <row r="3" ht="15.75" customHeight="1">
      <c r="A3" s="1"/>
      <c r="B3" s="44"/>
      <c r="C3" s="45">
        <v>756.0</v>
      </c>
      <c r="D3" s="44"/>
      <c r="E3" s="45">
        <v>754.0</v>
      </c>
      <c r="F3" s="44"/>
      <c r="G3" s="45">
        <v>752.0</v>
      </c>
      <c r="H3" s="42"/>
      <c r="I3" s="45">
        <v>428.0</v>
      </c>
      <c r="J3" s="44"/>
      <c r="K3" s="45">
        <v>430.0</v>
      </c>
      <c r="L3" s="44"/>
      <c r="M3" s="45">
        <v>432.0</v>
      </c>
      <c r="N3" s="44"/>
      <c r="O3" s="45">
        <v>434.0</v>
      </c>
      <c r="P3" s="46"/>
      <c r="Q3" s="5"/>
    </row>
    <row r="4" ht="15.75" customHeight="1">
      <c r="A4" s="1"/>
      <c r="B4" s="44"/>
      <c r="C4" s="45">
        <v>747.0</v>
      </c>
      <c r="D4" s="44"/>
      <c r="E4" s="45">
        <v>749.0</v>
      </c>
      <c r="F4" s="44"/>
      <c r="G4" s="45">
        <v>751.0</v>
      </c>
      <c r="H4" s="42"/>
      <c r="I4" s="45">
        <v>427.0</v>
      </c>
      <c r="J4" s="44"/>
      <c r="K4" s="45">
        <v>425.0</v>
      </c>
      <c r="L4" s="44"/>
      <c r="M4" s="45">
        <v>423.0</v>
      </c>
      <c r="N4" s="44"/>
      <c r="O4" s="45">
        <v>421.0</v>
      </c>
      <c r="P4" s="44"/>
      <c r="Q4" s="5"/>
    </row>
    <row r="5" ht="15.75" customHeight="1">
      <c r="A5" s="1"/>
      <c r="B5" s="44"/>
      <c r="C5" s="45">
        <v>744.0</v>
      </c>
      <c r="D5" s="44"/>
      <c r="E5" s="45">
        <v>742.0</v>
      </c>
      <c r="F5" s="44"/>
      <c r="G5" s="45">
        <v>740.0</v>
      </c>
      <c r="H5" s="42"/>
      <c r="I5" s="45">
        <v>396.0</v>
      </c>
      <c r="J5" s="44"/>
      <c r="K5" s="45">
        <v>398.0</v>
      </c>
      <c r="L5" s="44"/>
      <c r="M5" s="45">
        <v>400.0</v>
      </c>
      <c r="N5" s="44"/>
      <c r="O5" s="45">
        <v>402.0</v>
      </c>
      <c r="P5" s="46"/>
      <c r="Q5" s="5"/>
    </row>
    <row r="6" ht="15.75" customHeight="1">
      <c r="A6" s="1"/>
      <c r="B6" s="44"/>
      <c r="C6" s="45">
        <v>735.0</v>
      </c>
      <c r="D6" s="44"/>
      <c r="E6" s="45">
        <v>737.0</v>
      </c>
      <c r="F6" s="44"/>
      <c r="G6" s="45">
        <v>739.0</v>
      </c>
      <c r="H6" s="42"/>
      <c r="I6" s="45">
        <v>395.0</v>
      </c>
      <c r="J6" s="44"/>
      <c r="K6" s="45">
        <v>393.0</v>
      </c>
      <c r="L6" s="44"/>
      <c r="M6" s="45">
        <v>391.0</v>
      </c>
      <c r="N6" s="44"/>
      <c r="O6" s="45">
        <v>389.0</v>
      </c>
      <c r="P6" s="44"/>
      <c r="Q6" s="5"/>
    </row>
    <row r="7" ht="15.75" customHeight="1">
      <c r="A7" s="1"/>
      <c r="B7" s="44"/>
      <c r="C7" s="45">
        <v>732.0</v>
      </c>
      <c r="D7" s="44"/>
      <c r="E7" s="45">
        <v>730.0</v>
      </c>
      <c r="F7" s="44"/>
      <c r="G7" s="45">
        <v>728.0</v>
      </c>
      <c r="H7" s="42"/>
      <c r="I7" s="45">
        <v>364.0</v>
      </c>
      <c r="J7" s="44"/>
      <c r="K7" s="45">
        <v>366.0</v>
      </c>
      <c r="L7" s="44"/>
      <c r="M7" s="45">
        <v>368.0</v>
      </c>
      <c r="N7" s="44"/>
      <c r="O7" s="45">
        <v>370.0</v>
      </c>
      <c r="P7" s="46"/>
      <c r="Q7" s="5"/>
    </row>
    <row r="8" ht="15.75" customHeight="1">
      <c r="A8" s="1"/>
      <c r="B8" s="44"/>
      <c r="C8" s="45">
        <v>723.0</v>
      </c>
      <c r="D8" s="44"/>
      <c r="E8" s="45">
        <v>725.0</v>
      </c>
      <c r="F8" s="44"/>
      <c r="G8" s="45">
        <v>727.0</v>
      </c>
      <c r="H8" s="42"/>
      <c r="I8" s="45">
        <v>363.0</v>
      </c>
      <c r="J8" s="44"/>
      <c r="K8" s="45">
        <v>361.0</v>
      </c>
      <c r="L8" s="44"/>
      <c r="M8" s="45">
        <v>359.0</v>
      </c>
      <c r="N8" s="44"/>
      <c r="O8" s="45">
        <v>357.0</v>
      </c>
      <c r="P8" s="44"/>
      <c r="Q8" s="5"/>
    </row>
    <row r="9" ht="15.75" customHeight="1">
      <c r="A9" s="1"/>
      <c r="B9" s="44"/>
      <c r="C9" s="45">
        <v>720.0</v>
      </c>
      <c r="D9" s="44"/>
      <c r="E9" s="45">
        <v>718.0</v>
      </c>
      <c r="F9" s="44"/>
      <c r="G9" s="45">
        <v>716.0</v>
      </c>
      <c r="H9" s="42"/>
      <c r="I9" s="45">
        <v>332.0</v>
      </c>
      <c r="J9" s="44"/>
      <c r="K9" s="45">
        <v>334.0</v>
      </c>
      <c r="L9" s="44"/>
      <c r="M9" s="45">
        <v>336.0</v>
      </c>
      <c r="N9" s="44"/>
      <c r="O9" s="45">
        <v>338.0</v>
      </c>
      <c r="P9" s="46"/>
      <c r="Q9" s="5"/>
    </row>
    <row r="10" ht="15.75" customHeight="1">
      <c r="A10" s="1"/>
      <c r="B10" s="44"/>
      <c r="C10" s="45">
        <v>711.0</v>
      </c>
      <c r="D10" s="44"/>
      <c r="E10" s="45">
        <v>713.0</v>
      </c>
      <c r="F10" s="44"/>
      <c r="G10" s="45">
        <v>715.0</v>
      </c>
      <c r="H10" s="42"/>
      <c r="I10" s="45">
        <v>331.0</v>
      </c>
      <c r="J10" s="44"/>
      <c r="K10" s="45">
        <v>329.0</v>
      </c>
      <c r="L10" s="44"/>
      <c r="M10" s="45">
        <v>327.0</v>
      </c>
      <c r="N10" s="44"/>
      <c r="O10" s="45">
        <v>325.0</v>
      </c>
      <c r="P10" s="44"/>
      <c r="Q10" s="5"/>
    </row>
    <row r="11" ht="15.75" customHeight="1">
      <c r="A11" s="1"/>
      <c r="B11" s="44"/>
      <c r="C11" s="45">
        <v>708.0</v>
      </c>
      <c r="D11" s="44"/>
      <c r="E11" s="45">
        <v>706.0</v>
      </c>
      <c r="F11" s="44"/>
      <c r="G11" s="45">
        <v>704.0</v>
      </c>
      <c r="H11" s="42"/>
      <c r="I11" s="45">
        <v>300.0</v>
      </c>
      <c r="J11" s="44"/>
      <c r="K11" s="45">
        <v>302.0</v>
      </c>
      <c r="L11" s="44"/>
      <c r="M11" s="45">
        <v>304.0</v>
      </c>
      <c r="N11" s="44"/>
      <c r="O11" s="45">
        <v>306.0</v>
      </c>
      <c r="P11" s="46"/>
      <c r="Q11" s="5"/>
    </row>
    <row r="12" ht="15.75" customHeight="1">
      <c r="A12" s="1"/>
      <c r="B12" s="44"/>
      <c r="C12" s="45">
        <v>699.0</v>
      </c>
      <c r="D12" s="44"/>
      <c r="E12" s="45">
        <v>701.0</v>
      </c>
      <c r="F12" s="44"/>
      <c r="G12" s="45">
        <v>703.0</v>
      </c>
      <c r="H12" s="42"/>
      <c r="I12" s="45">
        <v>299.0</v>
      </c>
      <c r="J12" s="44"/>
      <c r="K12" s="45">
        <v>297.0</v>
      </c>
      <c r="L12" s="44"/>
      <c r="M12" s="45">
        <v>295.0</v>
      </c>
      <c r="N12" s="44"/>
      <c r="O12" s="45">
        <v>293.0</v>
      </c>
      <c r="P12" s="44"/>
      <c r="Q12" s="5"/>
    </row>
    <row r="13" ht="15.75" customHeight="1">
      <c r="A13" s="1"/>
      <c r="B13" s="44"/>
      <c r="C13" s="45">
        <v>696.0</v>
      </c>
      <c r="D13" s="44"/>
      <c r="E13" s="45">
        <v>694.0</v>
      </c>
      <c r="F13" s="44"/>
      <c r="G13" s="45">
        <v>692.0</v>
      </c>
      <c r="H13" s="42"/>
      <c r="I13" s="45">
        <v>268.0</v>
      </c>
      <c r="J13" s="44"/>
      <c r="K13" s="45">
        <v>270.0</v>
      </c>
      <c r="L13" s="44"/>
      <c r="M13" s="45">
        <v>272.0</v>
      </c>
      <c r="N13" s="44"/>
      <c r="O13" s="45">
        <v>274.0</v>
      </c>
      <c r="P13" s="46"/>
      <c r="Q13" s="5"/>
    </row>
    <row r="14" ht="15.75" customHeight="1">
      <c r="A14" s="1"/>
      <c r="B14" s="44"/>
      <c r="C14" s="45">
        <v>687.0</v>
      </c>
      <c r="D14" s="44"/>
      <c r="E14" s="45">
        <v>689.0</v>
      </c>
      <c r="F14" s="44"/>
      <c r="G14" s="45">
        <v>691.0</v>
      </c>
      <c r="H14" s="42"/>
      <c r="I14" s="45">
        <v>267.0</v>
      </c>
      <c r="J14" s="44"/>
      <c r="K14" s="45">
        <v>265.0</v>
      </c>
      <c r="L14" s="44"/>
      <c r="M14" s="45">
        <v>263.0</v>
      </c>
      <c r="N14" s="44"/>
      <c r="O14" s="45">
        <v>261.0</v>
      </c>
      <c r="P14" s="44"/>
      <c r="Q14" s="5"/>
    </row>
    <row r="15" ht="15.75" customHeight="1">
      <c r="A15" s="1"/>
      <c r="B15" s="44"/>
      <c r="C15" s="45">
        <v>684.0</v>
      </c>
      <c r="D15" s="44"/>
      <c r="E15" s="45">
        <v>682.0</v>
      </c>
      <c r="F15" s="44"/>
      <c r="G15" s="45">
        <v>680.0</v>
      </c>
      <c r="H15" s="42"/>
      <c r="I15" s="45">
        <v>236.0</v>
      </c>
      <c r="J15" s="44"/>
      <c r="K15" s="45">
        <v>238.0</v>
      </c>
      <c r="L15" s="44"/>
      <c r="M15" s="45">
        <v>240.0</v>
      </c>
      <c r="N15" s="44"/>
      <c r="O15" s="45">
        <v>242.0</v>
      </c>
      <c r="P15" s="46"/>
      <c r="Q15" s="5"/>
    </row>
    <row r="16" ht="15.75" customHeight="1">
      <c r="A16" s="1"/>
      <c r="B16" s="44"/>
      <c r="C16" s="45">
        <v>675.0</v>
      </c>
      <c r="D16" s="44"/>
      <c r="E16" s="45">
        <v>677.0</v>
      </c>
      <c r="F16" s="44"/>
      <c r="G16" s="45">
        <v>679.0</v>
      </c>
      <c r="H16" s="42"/>
      <c r="I16" s="45">
        <v>235.0</v>
      </c>
      <c r="J16" s="44"/>
      <c r="K16" s="45">
        <v>233.0</v>
      </c>
      <c r="L16" s="44"/>
      <c r="M16" s="45">
        <v>231.0</v>
      </c>
      <c r="N16" s="44"/>
      <c r="O16" s="45">
        <v>229.0</v>
      </c>
      <c r="P16" s="44"/>
      <c r="Q16" s="5"/>
    </row>
    <row r="17" ht="15.75" customHeight="1">
      <c r="A17" s="1"/>
      <c r="B17" s="44"/>
      <c r="C17" s="45">
        <v>672.0</v>
      </c>
      <c r="D17" s="44"/>
      <c r="E17" s="45">
        <v>670.0</v>
      </c>
      <c r="F17" s="44"/>
      <c r="G17" s="45">
        <v>668.0</v>
      </c>
      <c r="H17" s="42"/>
      <c r="I17" s="45">
        <v>204.0</v>
      </c>
      <c r="J17" s="44"/>
      <c r="K17" s="45">
        <v>206.0</v>
      </c>
      <c r="L17" s="44"/>
      <c r="M17" s="45">
        <v>208.0</v>
      </c>
      <c r="N17" s="44"/>
      <c r="O17" s="45">
        <v>210.0</v>
      </c>
      <c r="P17" s="46"/>
      <c r="Q17" s="5"/>
    </row>
    <row r="18" ht="15.75" customHeight="1">
      <c r="A18" s="1"/>
      <c r="B18" s="44"/>
      <c r="C18" s="45">
        <v>663.0</v>
      </c>
      <c r="D18" s="44"/>
      <c r="E18" s="45">
        <v>665.0</v>
      </c>
      <c r="F18" s="47"/>
      <c r="G18" s="48">
        <v>667.0</v>
      </c>
      <c r="H18" s="49"/>
      <c r="I18" s="50" t="s">
        <v>2</v>
      </c>
      <c r="J18" s="47"/>
      <c r="K18" s="45">
        <v>203.0</v>
      </c>
      <c r="L18" s="44"/>
      <c r="M18" s="45">
        <v>201.0</v>
      </c>
      <c r="N18" s="44"/>
      <c r="O18" s="51" t="s">
        <v>8</v>
      </c>
      <c r="P18" s="19"/>
      <c r="Q18" s="40"/>
    </row>
    <row r="19" ht="15.75" customHeight="1">
      <c r="A19" s="1"/>
      <c r="B19" s="44"/>
      <c r="C19" s="45">
        <v>660.0</v>
      </c>
      <c r="D19" s="44"/>
      <c r="E19" s="52">
        <v>658.0</v>
      </c>
      <c r="F19" s="53"/>
      <c r="G19" s="54" t="s">
        <v>1</v>
      </c>
      <c r="H19" s="55"/>
      <c r="I19" s="55"/>
      <c r="J19" s="55"/>
      <c r="K19" s="55"/>
      <c r="L19" s="55"/>
      <c r="M19" s="55"/>
      <c r="N19" s="55"/>
      <c r="O19" s="55"/>
      <c r="P19" s="49"/>
      <c r="Q19" s="5"/>
    </row>
    <row r="20" ht="15.75" customHeight="1">
      <c r="A20" s="5"/>
      <c r="B20" s="56"/>
      <c r="C20" s="5"/>
      <c r="D20" s="5"/>
      <c r="E20" s="5"/>
      <c r="F20" s="5"/>
      <c r="G20" s="5"/>
      <c r="H20" s="5"/>
      <c r="I20" s="5"/>
      <c r="J20" s="28"/>
      <c r="K20" s="28"/>
      <c r="L20" s="28"/>
      <c r="M20" s="28"/>
      <c r="N20" s="28"/>
      <c r="O20" s="28"/>
      <c r="P20" s="28"/>
      <c r="Q20" s="5"/>
    </row>
    <row r="21">
      <c r="B21" s="57"/>
      <c r="C21" s="58"/>
      <c r="D21" s="58"/>
      <c r="E21" s="58"/>
      <c r="F21" s="58"/>
      <c r="G21" s="58"/>
      <c r="H21" s="58"/>
      <c r="I21" s="59" t="s">
        <v>9</v>
      </c>
      <c r="J21" s="22"/>
      <c r="K21" s="22"/>
      <c r="L21" s="22"/>
      <c r="M21" s="22"/>
      <c r="N21" s="22"/>
      <c r="O21" s="22"/>
      <c r="P21" s="23"/>
      <c r="Q21" s="60"/>
    </row>
    <row r="22" ht="15.75" customHeight="1">
      <c r="B22" s="61"/>
      <c r="C22" s="15"/>
      <c r="D22" s="15"/>
      <c r="E22" s="15"/>
      <c r="F22" s="62" t="s">
        <v>10</v>
      </c>
      <c r="G22" s="18"/>
      <c r="H22" s="15"/>
      <c r="I22" s="15"/>
      <c r="J22" s="15"/>
      <c r="K22" s="15"/>
      <c r="L22" s="15"/>
      <c r="M22" s="15"/>
      <c r="N22" s="15"/>
      <c r="O22" s="15"/>
      <c r="P22" s="1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ht="15.75" customHeight="1">
      <c r="A24" s="5"/>
      <c r="B24" s="5"/>
      <c r="C24" s="5">
        <f>18*7 -1</f>
        <v>125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3">
    <mergeCell ref="O18:P18"/>
    <mergeCell ref="I21:P21"/>
    <mergeCell ref="F22:G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5" width="6.25"/>
  </cols>
  <sheetData>
    <row r="1">
      <c r="A1" s="2"/>
      <c r="B1" s="63">
        <f>B2+1</f>
        <v>451</v>
      </c>
      <c r="C1" s="63">
        <v>47.0</v>
      </c>
      <c r="D1" s="63">
        <f>B1+1</f>
        <v>452</v>
      </c>
      <c r="E1" s="63">
        <v>49.0</v>
      </c>
      <c r="F1" s="63">
        <f>D1+1</f>
        <v>453</v>
      </c>
      <c r="G1" s="63">
        <v>51.0</v>
      </c>
      <c r="H1" s="63">
        <f>F1+1</f>
        <v>454</v>
      </c>
      <c r="I1" s="1"/>
      <c r="J1" s="63">
        <f>H1+1</f>
        <v>455</v>
      </c>
      <c r="K1" s="63">
        <v>54.0</v>
      </c>
      <c r="L1" s="63">
        <f>J1+1</f>
        <v>456</v>
      </c>
      <c r="M1" s="63">
        <v>56.0</v>
      </c>
      <c r="N1" s="63">
        <f>L1+1</f>
        <v>457</v>
      </c>
      <c r="O1" s="2"/>
    </row>
    <row r="2">
      <c r="A2" s="29"/>
      <c r="B2" s="4">
        <v>450.0</v>
      </c>
      <c r="C2" s="29"/>
      <c r="D2" s="4">
        <v>448.0</v>
      </c>
      <c r="E2" s="29"/>
      <c r="F2" s="4">
        <v>446.0</v>
      </c>
      <c r="G2" s="29"/>
      <c r="H2" s="4">
        <v>444.0</v>
      </c>
      <c r="I2" s="1"/>
      <c r="J2" s="4">
        <v>101.0</v>
      </c>
      <c r="K2" s="29"/>
      <c r="L2" s="4">
        <v>103.0</v>
      </c>
      <c r="M2" s="29"/>
      <c r="N2" s="4">
        <v>105.0</v>
      </c>
      <c r="O2" s="29"/>
    </row>
    <row r="3">
      <c r="A3" s="29"/>
      <c r="B3" s="4">
        <v>437.0</v>
      </c>
      <c r="C3" s="29"/>
      <c r="D3" s="4">
        <v>439.0</v>
      </c>
      <c r="E3" s="29"/>
      <c r="F3" s="4">
        <v>441.0</v>
      </c>
      <c r="G3" s="29"/>
      <c r="H3" s="4">
        <v>443.0</v>
      </c>
      <c r="I3" s="1"/>
      <c r="J3" s="4">
        <v>100.0</v>
      </c>
      <c r="K3" s="29"/>
      <c r="L3" s="4">
        <v>98.0</v>
      </c>
      <c r="M3" s="29"/>
      <c r="N3" s="4">
        <v>96.0</v>
      </c>
      <c r="O3" s="29"/>
    </row>
    <row r="4">
      <c r="A4" s="29"/>
      <c r="B4" s="4">
        <v>418.0</v>
      </c>
      <c r="C4" s="29"/>
      <c r="D4" s="4">
        <v>416.0</v>
      </c>
      <c r="E4" s="29"/>
      <c r="F4" s="4">
        <v>414.0</v>
      </c>
      <c r="G4" s="29"/>
      <c r="H4" s="4">
        <v>412.0</v>
      </c>
      <c r="I4" s="1"/>
      <c r="J4" s="4">
        <v>89.0</v>
      </c>
      <c r="K4" s="29"/>
      <c r="L4" s="4">
        <v>91.0</v>
      </c>
      <c r="M4" s="29"/>
      <c r="N4" s="4">
        <v>93.0</v>
      </c>
      <c r="O4" s="29"/>
    </row>
    <row r="5">
      <c r="A5" s="29"/>
      <c r="B5" s="4">
        <v>405.0</v>
      </c>
      <c r="C5" s="29"/>
      <c r="D5" s="4">
        <v>407.0</v>
      </c>
      <c r="E5" s="29"/>
      <c r="F5" s="4">
        <v>409.0</v>
      </c>
      <c r="G5" s="29"/>
      <c r="H5" s="4">
        <v>411.0</v>
      </c>
      <c r="I5" s="1"/>
      <c r="J5" s="4">
        <v>88.0</v>
      </c>
      <c r="K5" s="29"/>
      <c r="L5" s="4">
        <v>86.0</v>
      </c>
      <c r="M5" s="29"/>
      <c r="N5" s="4">
        <v>84.0</v>
      </c>
      <c r="O5" s="29"/>
    </row>
    <row r="6">
      <c r="A6" s="29"/>
      <c r="B6" s="4">
        <v>386.0</v>
      </c>
      <c r="C6" s="29"/>
      <c r="D6" s="4">
        <v>384.0</v>
      </c>
      <c r="E6" s="29"/>
      <c r="F6" s="4">
        <v>382.0</v>
      </c>
      <c r="G6" s="29"/>
      <c r="H6" s="4">
        <v>380.0</v>
      </c>
      <c r="I6" s="1"/>
      <c r="J6" s="4">
        <v>77.0</v>
      </c>
      <c r="K6" s="29"/>
      <c r="L6" s="4">
        <v>79.0</v>
      </c>
      <c r="M6" s="29"/>
      <c r="N6" s="4">
        <v>81.0</v>
      </c>
      <c r="O6" s="29"/>
    </row>
    <row r="7">
      <c r="A7" s="29"/>
      <c r="B7" s="4">
        <v>373.0</v>
      </c>
      <c r="C7" s="29"/>
      <c r="D7" s="4">
        <v>375.0</v>
      </c>
      <c r="E7" s="29"/>
      <c r="F7" s="4">
        <v>377.0</v>
      </c>
      <c r="G7" s="29"/>
      <c r="H7" s="4">
        <v>379.0</v>
      </c>
      <c r="I7" s="1"/>
      <c r="J7" s="4">
        <v>76.0</v>
      </c>
      <c r="K7" s="29"/>
      <c r="L7" s="4">
        <v>74.0</v>
      </c>
      <c r="M7" s="29"/>
      <c r="N7" s="4">
        <v>72.0</v>
      </c>
      <c r="O7" s="29"/>
    </row>
    <row r="8">
      <c r="A8" s="29"/>
      <c r="B8" s="4">
        <v>354.0</v>
      </c>
      <c r="C8" s="29"/>
      <c r="D8" s="4">
        <v>352.0</v>
      </c>
      <c r="E8" s="29"/>
      <c r="F8" s="4">
        <v>350.0</v>
      </c>
      <c r="G8" s="29"/>
      <c r="H8" s="4">
        <v>348.0</v>
      </c>
      <c r="I8" s="1"/>
      <c r="J8" s="4">
        <v>65.0</v>
      </c>
      <c r="K8" s="29"/>
      <c r="L8" s="4">
        <v>67.0</v>
      </c>
      <c r="M8" s="29"/>
      <c r="N8" s="4">
        <v>69.0</v>
      </c>
      <c r="O8" s="29"/>
    </row>
    <row r="9">
      <c r="A9" s="29"/>
      <c r="B9" s="4">
        <v>341.0</v>
      </c>
      <c r="C9" s="29"/>
      <c r="D9" s="4">
        <v>343.0</v>
      </c>
      <c r="E9" s="29"/>
      <c r="F9" s="4">
        <v>345.0</v>
      </c>
      <c r="G9" s="29"/>
      <c r="H9" s="4">
        <v>347.0</v>
      </c>
      <c r="I9" s="1"/>
      <c r="J9" s="4">
        <v>64.0</v>
      </c>
      <c r="K9" s="29"/>
      <c r="L9" s="4">
        <v>62.0</v>
      </c>
      <c r="M9" s="29"/>
      <c r="N9" s="4">
        <v>60.0</v>
      </c>
      <c r="O9" s="29"/>
    </row>
    <row r="10">
      <c r="A10" s="29"/>
      <c r="B10" s="4">
        <v>322.0</v>
      </c>
      <c r="C10" s="29"/>
      <c r="D10" s="4">
        <v>320.0</v>
      </c>
      <c r="E10" s="29"/>
      <c r="F10" s="4">
        <v>318.0</v>
      </c>
      <c r="G10" s="29"/>
      <c r="H10" s="4">
        <v>316.0</v>
      </c>
      <c r="I10" s="1"/>
      <c r="J10" s="4">
        <v>53.0</v>
      </c>
      <c r="K10" s="29"/>
      <c r="L10" s="4">
        <v>55.0</v>
      </c>
      <c r="M10" s="29"/>
      <c r="N10" s="4">
        <v>57.0</v>
      </c>
      <c r="O10" s="29"/>
    </row>
    <row r="11">
      <c r="A11" s="29"/>
      <c r="B11" s="4">
        <v>309.0</v>
      </c>
      <c r="C11" s="29"/>
      <c r="D11" s="4">
        <v>311.0</v>
      </c>
      <c r="E11" s="29"/>
      <c r="F11" s="4">
        <v>313.0</v>
      </c>
      <c r="G11" s="29"/>
      <c r="H11" s="4">
        <v>315.0</v>
      </c>
      <c r="I11" s="1"/>
      <c r="J11" s="4">
        <v>52.0</v>
      </c>
      <c r="K11" s="29"/>
      <c r="L11" s="4">
        <v>50.0</v>
      </c>
      <c r="M11" s="29"/>
      <c r="N11" s="4">
        <v>48.0</v>
      </c>
      <c r="O11" s="29"/>
    </row>
    <row r="12">
      <c r="A12" s="29"/>
      <c r="B12" s="4">
        <v>290.0</v>
      </c>
      <c r="C12" s="29"/>
      <c r="D12" s="4">
        <v>288.0</v>
      </c>
      <c r="E12" s="29"/>
      <c r="F12" s="4">
        <v>286.0</v>
      </c>
      <c r="G12" s="29"/>
      <c r="H12" s="4">
        <v>284.0</v>
      </c>
      <c r="I12" s="1"/>
      <c r="J12" s="4">
        <v>41.0</v>
      </c>
      <c r="K12" s="29"/>
      <c r="L12" s="4">
        <v>43.0</v>
      </c>
      <c r="M12" s="29"/>
      <c r="N12" s="4">
        <v>45.0</v>
      </c>
      <c r="O12" s="29"/>
    </row>
    <row r="13">
      <c r="A13" s="29"/>
      <c r="B13" s="4">
        <v>277.0</v>
      </c>
      <c r="C13" s="29"/>
      <c r="D13" s="4">
        <v>279.0</v>
      </c>
      <c r="E13" s="29"/>
      <c r="F13" s="4">
        <v>281.0</v>
      </c>
      <c r="G13" s="29"/>
      <c r="H13" s="4">
        <v>283.0</v>
      </c>
      <c r="I13" s="1"/>
      <c r="J13" s="4">
        <v>40.0</v>
      </c>
      <c r="K13" s="29"/>
      <c r="L13" s="4">
        <v>38.0</v>
      </c>
      <c r="M13" s="29"/>
      <c r="N13" s="4">
        <v>36.0</v>
      </c>
      <c r="O13" s="29"/>
    </row>
    <row r="14">
      <c r="A14" s="29"/>
      <c r="B14" s="4">
        <v>258.0</v>
      </c>
      <c r="C14" s="29"/>
      <c r="D14" s="4">
        <v>256.0</v>
      </c>
      <c r="E14" s="29"/>
      <c r="F14" s="4">
        <v>254.0</v>
      </c>
      <c r="G14" s="29"/>
      <c r="H14" s="4">
        <v>252.0</v>
      </c>
      <c r="I14" s="1"/>
      <c r="J14" s="4">
        <v>29.0</v>
      </c>
      <c r="K14" s="29"/>
      <c r="L14" s="4">
        <v>31.0</v>
      </c>
      <c r="M14" s="29"/>
      <c r="N14" s="4">
        <v>33.0</v>
      </c>
      <c r="O14" s="29"/>
    </row>
    <row r="15">
      <c r="A15" s="29"/>
      <c r="B15" s="4">
        <v>245.0</v>
      </c>
      <c r="C15" s="29"/>
      <c r="D15" s="4">
        <v>247.0</v>
      </c>
      <c r="E15" s="29"/>
      <c r="F15" s="4">
        <v>249.0</v>
      </c>
      <c r="G15" s="29"/>
      <c r="H15" s="4">
        <v>251.0</v>
      </c>
      <c r="I15" s="1"/>
      <c r="J15" s="4">
        <v>28.0</v>
      </c>
      <c r="K15" s="29"/>
      <c r="L15" s="4">
        <v>26.0</v>
      </c>
      <c r="M15" s="29"/>
      <c r="N15" s="4">
        <v>24.0</v>
      </c>
      <c r="O15" s="29"/>
    </row>
    <row r="16">
      <c r="A16" s="29"/>
      <c r="B16" s="4">
        <v>226.0</v>
      </c>
      <c r="C16" s="29"/>
      <c r="D16" s="4">
        <v>224.0</v>
      </c>
      <c r="E16" s="29"/>
      <c r="F16" s="4">
        <v>222.0</v>
      </c>
      <c r="G16" s="29"/>
      <c r="H16" s="4">
        <v>220.0</v>
      </c>
      <c r="I16" s="1"/>
      <c r="J16" s="4">
        <v>17.0</v>
      </c>
      <c r="K16" s="29"/>
      <c r="L16" s="4">
        <v>19.0</v>
      </c>
      <c r="M16" s="29"/>
      <c r="N16" s="4">
        <v>21.0</v>
      </c>
      <c r="O16" s="29"/>
    </row>
    <row r="17">
      <c r="A17" s="29"/>
      <c r="B17" s="4">
        <v>213.0</v>
      </c>
      <c r="C17" s="29"/>
      <c r="D17" s="4">
        <v>215.0</v>
      </c>
      <c r="E17" s="29"/>
      <c r="F17" s="4">
        <v>217.0</v>
      </c>
      <c r="G17" s="29"/>
      <c r="H17" s="4">
        <v>219.0</v>
      </c>
      <c r="I17" s="1"/>
      <c r="J17" s="4">
        <v>16.0</v>
      </c>
      <c r="K17" s="29"/>
      <c r="L17" s="4">
        <v>14.0</v>
      </c>
      <c r="M17" s="29"/>
      <c r="N17" s="4">
        <v>12.0</v>
      </c>
      <c r="O17" s="29"/>
    </row>
    <row r="18">
      <c r="A18" s="64" t="s">
        <v>8</v>
      </c>
      <c r="B18" s="4">
        <v>196.0</v>
      </c>
      <c r="C18" s="29"/>
      <c r="D18" s="4">
        <v>194.0</v>
      </c>
      <c r="E18" s="29"/>
      <c r="F18" s="65">
        <v>192.0</v>
      </c>
      <c r="G18" s="66"/>
      <c r="H18" s="14" t="s">
        <v>2</v>
      </c>
      <c r="I18" s="1"/>
      <c r="J18" s="4">
        <v>5.0</v>
      </c>
      <c r="K18" s="29"/>
      <c r="L18" s="4">
        <v>7.0</v>
      </c>
      <c r="M18" s="29"/>
      <c r="N18" s="4">
        <v>9.0</v>
      </c>
      <c r="O18" s="29"/>
    </row>
    <row r="19">
      <c r="A19" s="5"/>
      <c r="B19" s="5"/>
      <c r="C19" s="5"/>
      <c r="D19" s="5"/>
      <c r="E19" s="5"/>
      <c r="F19" s="5"/>
      <c r="G19" s="5"/>
      <c r="H19" s="5"/>
      <c r="I19" s="1"/>
      <c r="J19" s="65" t="s">
        <v>1</v>
      </c>
      <c r="K19" s="28"/>
      <c r="L19" s="4">
        <v>4.0</v>
      </c>
      <c r="M19" s="29"/>
      <c r="N19" s="4">
        <v>2.0</v>
      </c>
      <c r="O19" s="29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"/>
    </row>
    <row r="21">
      <c r="A21" s="28"/>
      <c r="B21" s="28"/>
      <c r="C21" s="28"/>
      <c r="D21" s="28"/>
      <c r="E21" s="28"/>
      <c r="F21" s="28"/>
      <c r="G21" s="28"/>
      <c r="H21" s="28"/>
      <c r="I21" s="5"/>
      <c r="J21" s="5"/>
      <c r="K21" s="5"/>
      <c r="L21" s="5"/>
      <c r="M21" s="5"/>
      <c r="N21" s="5"/>
      <c r="O21" s="1"/>
    </row>
    <row r="22">
      <c r="A22" s="67" t="s">
        <v>11</v>
      </c>
      <c r="B22" s="18"/>
      <c r="C22" s="18"/>
      <c r="D22" s="18"/>
      <c r="E22" s="18"/>
      <c r="F22" s="18"/>
      <c r="G22" s="18"/>
      <c r="H22" s="18"/>
      <c r="I22" s="68"/>
      <c r="J22" s="55"/>
      <c r="K22" s="55"/>
      <c r="L22" s="55"/>
      <c r="M22" s="55"/>
      <c r="N22" s="55"/>
      <c r="O22" s="42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62" t="s">
        <v>7</v>
      </c>
      <c r="M23" s="18"/>
      <c r="N23" s="15"/>
      <c r="O23" s="69"/>
    </row>
    <row r="24">
      <c r="B24" s="70">
        <f>17*4 + 16 + 18*2</f>
        <v>120</v>
      </c>
    </row>
  </sheetData>
  <mergeCells count="2">
    <mergeCell ref="A22:H22"/>
    <mergeCell ref="L23:M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1" width="6.25"/>
  </cols>
  <sheetData>
    <row r="1">
      <c r="A1" s="5"/>
      <c r="B1" s="28"/>
      <c r="C1" s="28"/>
      <c r="D1" s="28"/>
      <c r="E1" s="5"/>
      <c r="F1" s="28"/>
      <c r="G1" s="5"/>
      <c r="H1" s="5"/>
      <c r="I1" s="5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5"/>
      <c r="Z1" s="28"/>
      <c r="AA1" s="28"/>
      <c r="AB1" s="28"/>
      <c r="AC1" s="28"/>
      <c r="AD1" s="28"/>
      <c r="AE1" s="5"/>
    </row>
    <row r="2">
      <c r="A2" s="71"/>
      <c r="B2" s="72">
        <v>834.0</v>
      </c>
      <c r="C2" s="73"/>
      <c r="D2" s="74">
        <v>832.0</v>
      </c>
      <c r="E2" s="75"/>
      <c r="F2" s="74">
        <v>830.0</v>
      </c>
      <c r="G2" s="76"/>
      <c r="H2" s="76"/>
      <c r="I2" s="77"/>
      <c r="J2" s="74">
        <v>643.0</v>
      </c>
      <c r="K2" s="73"/>
      <c r="L2" s="74">
        <v>645.0</v>
      </c>
      <c r="M2" s="73"/>
      <c r="N2" s="74">
        <v>647.0</v>
      </c>
      <c r="O2" s="73"/>
      <c r="P2" s="74">
        <v>649.0</v>
      </c>
      <c r="Q2" s="78"/>
      <c r="R2" s="74">
        <v>651.0</v>
      </c>
      <c r="S2" s="73"/>
      <c r="T2" s="74">
        <v>653.0</v>
      </c>
      <c r="U2" s="73"/>
      <c r="V2" s="74">
        <v>655.0</v>
      </c>
      <c r="W2" s="73"/>
      <c r="X2" s="74">
        <v>657.0</v>
      </c>
      <c r="Y2" s="77"/>
      <c r="Z2" s="74">
        <v>191.0</v>
      </c>
      <c r="AA2" s="73"/>
      <c r="AB2" s="74">
        <v>189.0</v>
      </c>
      <c r="AC2" s="73"/>
      <c r="AD2" s="74">
        <v>187.0</v>
      </c>
      <c r="AE2" s="79"/>
    </row>
    <row r="3">
      <c r="A3" s="71"/>
      <c r="B3" s="80">
        <v>825.0</v>
      </c>
      <c r="C3" s="2"/>
      <c r="D3" s="4">
        <v>827.0</v>
      </c>
      <c r="E3" s="2"/>
      <c r="F3" s="4">
        <v>829.0</v>
      </c>
      <c r="G3" s="5"/>
      <c r="H3" s="5"/>
      <c r="I3" s="29"/>
      <c r="J3" s="4">
        <v>642.0</v>
      </c>
      <c r="K3" s="2"/>
      <c r="L3" s="4">
        <v>640.0</v>
      </c>
      <c r="M3" s="2"/>
      <c r="N3" s="4">
        <v>638.0</v>
      </c>
      <c r="O3" s="2"/>
      <c r="P3" s="4">
        <v>636.0</v>
      </c>
      <c r="Q3" s="81"/>
      <c r="R3" s="4">
        <v>634.0</v>
      </c>
      <c r="S3" s="2"/>
      <c r="T3" s="4">
        <v>632.0</v>
      </c>
      <c r="U3" s="2"/>
      <c r="V3" s="4">
        <v>630.0</v>
      </c>
      <c r="W3" s="2"/>
      <c r="X3" s="4">
        <v>628.0</v>
      </c>
      <c r="Y3" s="1"/>
      <c r="Z3" s="4">
        <v>180.0</v>
      </c>
      <c r="AA3" s="2"/>
      <c r="AB3" s="4">
        <v>182.0</v>
      </c>
      <c r="AC3" s="2"/>
      <c r="AD3" s="4">
        <v>184.0</v>
      </c>
      <c r="AE3" s="81"/>
    </row>
    <row r="4">
      <c r="A4" s="71"/>
      <c r="B4" s="80">
        <v>824.0</v>
      </c>
      <c r="C4" s="2"/>
      <c r="D4" s="4">
        <v>822.0</v>
      </c>
      <c r="E4" s="2"/>
      <c r="F4" s="4">
        <v>820.0</v>
      </c>
      <c r="G4" s="10"/>
      <c r="H4" s="1"/>
      <c r="I4" s="2"/>
      <c r="J4" s="4">
        <v>613.0</v>
      </c>
      <c r="K4" s="2"/>
      <c r="L4" s="4">
        <v>615.0</v>
      </c>
      <c r="M4" s="2"/>
      <c r="N4" s="4">
        <v>617.0</v>
      </c>
      <c r="O4" s="2"/>
      <c r="P4" s="4">
        <v>619.0</v>
      </c>
      <c r="Q4" s="81"/>
      <c r="R4" s="4">
        <v>621.0</v>
      </c>
      <c r="S4" s="2"/>
      <c r="T4" s="4">
        <v>623.0</v>
      </c>
      <c r="U4" s="2"/>
      <c r="V4" s="4">
        <v>625.0</v>
      </c>
      <c r="W4" s="2"/>
      <c r="X4" s="4">
        <v>627.0</v>
      </c>
      <c r="Y4" s="1"/>
      <c r="Z4" s="4">
        <v>179.0</v>
      </c>
      <c r="AA4" s="2"/>
      <c r="AB4" s="4">
        <v>177.0</v>
      </c>
      <c r="AC4" s="2"/>
      <c r="AD4" s="4">
        <v>175.0</v>
      </c>
      <c r="AE4" s="2"/>
    </row>
    <row r="5">
      <c r="A5" s="71"/>
      <c r="B5" s="80">
        <v>813.0</v>
      </c>
      <c r="C5" s="2"/>
      <c r="D5" s="4">
        <v>815.0</v>
      </c>
      <c r="E5" s="2"/>
      <c r="F5" s="4">
        <v>817.0</v>
      </c>
      <c r="G5" s="10"/>
      <c r="H5" s="1"/>
      <c r="I5" s="2"/>
      <c r="J5" s="4">
        <v>610.0</v>
      </c>
      <c r="K5" s="2"/>
      <c r="L5" s="4">
        <v>608.0</v>
      </c>
      <c r="M5" s="2"/>
      <c r="N5" s="4">
        <v>606.0</v>
      </c>
      <c r="O5" s="2"/>
      <c r="P5" s="4">
        <v>604.0</v>
      </c>
      <c r="Q5" s="81"/>
      <c r="R5" s="4">
        <v>602.0</v>
      </c>
      <c r="S5" s="2"/>
      <c r="T5" s="4">
        <v>600.0</v>
      </c>
      <c r="U5" s="2"/>
      <c r="V5" s="4">
        <v>598.0</v>
      </c>
      <c r="W5" s="2"/>
      <c r="X5" s="4">
        <v>596.0</v>
      </c>
      <c r="Y5" s="1"/>
      <c r="Z5" s="4">
        <v>168.0</v>
      </c>
      <c r="AA5" s="2"/>
      <c r="AB5" s="4">
        <v>170.0</v>
      </c>
      <c r="AC5" s="2"/>
      <c r="AD5" s="4">
        <v>172.0</v>
      </c>
      <c r="AE5" s="2"/>
    </row>
    <row r="6">
      <c r="A6" s="71"/>
      <c r="B6" s="80">
        <v>812.0</v>
      </c>
      <c r="C6" s="2"/>
      <c r="D6" s="4">
        <v>810.0</v>
      </c>
      <c r="E6" s="2"/>
      <c r="F6" s="4">
        <v>808.0</v>
      </c>
      <c r="G6" s="10"/>
      <c r="H6" s="1"/>
      <c r="I6" s="2"/>
      <c r="J6" s="4">
        <v>581.0</v>
      </c>
      <c r="K6" s="2"/>
      <c r="L6" s="4">
        <v>583.0</v>
      </c>
      <c r="M6" s="2"/>
      <c r="N6" s="4">
        <v>585.0</v>
      </c>
      <c r="O6" s="2"/>
      <c r="P6" s="4">
        <v>587.0</v>
      </c>
      <c r="Q6" s="81"/>
      <c r="R6" s="4">
        <v>589.0</v>
      </c>
      <c r="S6" s="2"/>
      <c r="T6" s="4">
        <v>591.0</v>
      </c>
      <c r="U6" s="2"/>
      <c r="V6" s="4">
        <v>593.0</v>
      </c>
      <c r="W6" s="2"/>
      <c r="X6" s="4">
        <v>595.0</v>
      </c>
      <c r="Y6" s="1"/>
      <c r="Z6" s="4">
        <v>167.0</v>
      </c>
      <c r="AA6" s="2"/>
      <c r="AB6" s="4">
        <v>165.0</v>
      </c>
      <c r="AC6" s="2"/>
      <c r="AD6" s="4">
        <v>163.0</v>
      </c>
      <c r="AE6" s="2"/>
    </row>
    <row r="7">
      <c r="A7" s="82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"/>
      <c r="Z7" s="4">
        <v>156.0</v>
      </c>
      <c r="AA7" s="2"/>
      <c r="AB7" s="4">
        <v>158.0</v>
      </c>
      <c r="AC7" s="2"/>
      <c r="AD7" s="4">
        <v>160.0</v>
      </c>
      <c r="AE7" s="2"/>
    </row>
    <row r="8">
      <c r="B8" s="28"/>
      <c r="C8" s="28"/>
      <c r="D8" s="28"/>
      <c r="E8" s="28"/>
      <c r="F8" s="28"/>
      <c r="G8" s="28"/>
      <c r="H8" s="5"/>
      <c r="I8" s="28"/>
      <c r="J8" s="28"/>
      <c r="K8" s="28"/>
      <c r="L8" s="28"/>
      <c r="M8" s="5"/>
      <c r="N8" s="5"/>
      <c r="O8" s="5"/>
      <c r="P8" s="5"/>
      <c r="Q8" s="5"/>
      <c r="R8" s="5"/>
      <c r="S8" s="5"/>
      <c r="T8" s="5"/>
      <c r="U8" s="28"/>
      <c r="V8" s="28"/>
      <c r="W8" s="28"/>
      <c r="X8" s="28"/>
      <c r="Y8" s="1"/>
      <c r="Z8" s="4">
        <v>155.0</v>
      </c>
      <c r="AA8" s="2"/>
      <c r="AB8" s="4">
        <v>153.0</v>
      </c>
      <c r="AC8" s="2"/>
      <c r="AD8" s="4">
        <v>151.0</v>
      </c>
      <c r="AE8" s="2"/>
    </row>
    <row r="9">
      <c r="A9" s="5"/>
      <c r="B9" s="30"/>
      <c r="C9" s="4">
        <v>802.0</v>
      </c>
      <c r="D9" s="2"/>
      <c r="E9" s="4">
        <v>804.0</v>
      </c>
      <c r="F9" s="2"/>
      <c r="G9" s="4">
        <v>806.0</v>
      </c>
      <c r="H9" s="1"/>
      <c r="I9" s="2"/>
      <c r="J9" s="4">
        <v>578.0</v>
      </c>
      <c r="K9" s="2"/>
      <c r="L9" s="4">
        <v>576.0</v>
      </c>
      <c r="M9" s="28"/>
      <c r="N9" s="28"/>
      <c r="O9" s="28"/>
      <c r="P9" s="28"/>
      <c r="Q9" s="28"/>
      <c r="R9" s="28"/>
      <c r="S9" s="28"/>
      <c r="T9" s="29"/>
      <c r="U9" s="2"/>
      <c r="V9" s="4">
        <v>574.0</v>
      </c>
      <c r="W9" s="2"/>
      <c r="X9" s="4">
        <v>572.0</v>
      </c>
      <c r="Y9" s="1"/>
      <c r="Z9" s="4">
        <v>144.0</v>
      </c>
      <c r="AA9" s="2"/>
      <c r="AB9" s="4">
        <v>146.0</v>
      </c>
      <c r="AC9" s="2"/>
      <c r="AD9" s="4">
        <v>148.0</v>
      </c>
      <c r="AE9" s="2"/>
    </row>
    <row r="10">
      <c r="A10" s="5"/>
      <c r="B10" s="30"/>
      <c r="C10" s="4">
        <v>799.0</v>
      </c>
      <c r="D10" s="2"/>
      <c r="E10" s="4">
        <v>797.0</v>
      </c>
      <c r="F10" s="2"/>
      <c r="G10" s="4">
        <v>795.0</v>
      </c>
      <c r="H10" s="1"/>
      <c r="I10" s="2"/>
      <c r="J10" s="4">
        <v>557.0</v>
      </c>
      <c r="K10" s="2"/>
      <c r="L10" s="4">
        <v>559.0</v>
      </c>
      <c r="M10" s="2"/>
      <c r="N10" s="4">
        <v>561.0</v>
      </c>
      <c r="O10" s="2"/>
      <c r="P10" s="4">
        <v>563.0</v>
      </c>
      <c r="Q10" s="2"/>
      <c r="R10" s="4">
        <v>565.0</v>
      </c>
      <c r="S10" s="2"/>
      <c r="T10" s="4">
        <v>567.0</v>
      </c>
      <c r="U10" s="2"/>
      <c r="V10" s="4">
        <v>569.0</v>
      </c>
      <c r="W10" s="2"/>
      <c r="X10" s="4">
        <v>571.0</v>
      </c>
      <c r="Y10" s="1"/>
      <c r="Z10" s="4">
        <v>143.0</v>
      </c>
      <c r="AA10" s="2"/>
      <c r="AB10" s="4">
        <v>141.0</v>
      </c>
      <c r="AC10" s="2"/>
      <c r="AD10" s="4">
        <v>139.0</v>
      </c>
      <c r="AE10" s="2"/>
    </row>
    <row r="11">
      <c r="A11" s="5"/>
      <c r="B11" s="30"/>
      <c r="C11" s="4">
        <v>790.0</v>
      </c>
      <c r="D11" s="2"/>
      <c r="E11" s="4">
        <v>792.0</v>
      </c>
      <c r="F11" s="2"/>
      <c r="G11" s="4">
        <v>794.0</v>
      </c>
      <c r="H11" s="1"/>
      <c r="I11" s="2"/>
      <c r="J11" s="4">
        <v>554.0</v>
      </c>
      <c r="K11" s="2"/>
      <c r="L11" s="4">
        <v>552.0</v>
      </c>
      <c r="M11" s="2"/>
      <c r="N11" s="4">
        <v>550.0</v>
      </c>
      <c r="O11" s="2"/>
      <c r="P11" s="4">
        <v>548.0</v>
      </c>
      <c r="Q11" s="2"/>
      <c r="R11" s="4">
        <v>546.0</v>
      </c>
      <c r="S11" s="2"/>
      <c r="T11" s="4">
        <v>544.0</v>
      </c>
      <c r="U11" s="2"/>
      <c r="V11" s="4">
        <v>542.0</v>
      </c>
      <c r="W11" s="2"/>
      <c r="X11" s="4">
        <v>540.0</v>
      </c>
      <c r="Y11" s="1"/>
      <c r="Z11" s="4">
        <v>132.0</v>
      </c>
      <c r="AA11" s="2"/>
      <c r="AB11" s="4">
        <v>134.0</v>
      </c>
      <c r="AC11" s="2"/>
      <c r="AD11" s="4">
        <v>136.0</v>
      </c>
      <c r="AE11" s="2"/>
    </row>
    <row r="12">
      <c r="A12" s="5"/>
      <c r="B12" s="30"/>
      <c r="C12" s="4">
        <v>787.0</v>
      </c>
      <c r="D12" s="2"/>
      <c r="E12" s="4">
        <v>785.0</v>
      </c>
      <c r="F12" s="2"/>
      <c r="G12" s="4">
        <v>783.0</v>
      </c>
      <c r="H12" s="1"/>
      <c r="I12" s="2"/>
      <c r="J12" s="4">
        <v>525.0</v>
      </c>
      <c r="K12" s="2"/>
      <c r="L12" s="4">
        <v>527.0</v>
      </c>
      <c r="M12" s="2"/>
      <c r="N12" s="4">
        <v>529.0</v>
      </c>
      <c r="O12" s="2"/>
      <c r="P12" s="4">
        <v>531.0</v>
      </c>
      <c r="Q12" s="2"/>
      <c r="R12" s="4">
        <v>533.0</v>
      </c>
      <c r="S12" s="2"/>
      <c r="T12" s="4">
        <v>535.0</v>
      </c>
      <c r="U12" s="2"/>
      <c r="V12" s="4">
        <v>537.0</v>
      </c>
      <c r="W12" s="2"/>
      <c r="X12" s="4">
        <v>539.0</v>
      </c>
      <c r="Y12" s="1"/>
      <c r="Z12" s="4">
        <v>131.0</v>
      </c>
      <c r="AA12" s="2"/>
      <c r="AB12" s="4">
        <v>129.0</v>
      </c>
      <c r="AC12" s="2"/>
      <c r="AD12" s="4">
        <v>127.0</v>
      </c>
      <c r="AE12" s="2"/>
    </row>
    <row r="13">
      <c r="A13" s="5"/>
      <c r="B13" s="1"/>
      <c r="C13" s="4">
        <v>778.0</v>
      </c>
      <c r="D13" s="2"/>
      <c r="E13" s="4">
        <v>780.0</v>
      </c>
      <c r="F13" s="2"/>
      <c r="G13" s="4">
        <v>782.0</v>
      </c>
      <c r="H13" s="1"/>
      <c r="I13" s="2"/>
      <c r="J13" s="4">
        <v>522.0</v>
      </c>
      <c r="K13" s="2"/>
      <c r="L13" s="4">
        <v>520.0</v>
      </c>
      <c r="M13" s="2"/>
      <c r="N13" s="4">
        <v>518.0</v>
      </c>
      <c r="O13" s="2"/>
      <c r="P13" s="4">
        <v>516.0</v>
      </c>
      <c r="Q13" s="2"/>
      <c r="R13" s="4">
        <v>514.0</v>
      </c>
      <c r="S13" s="2"/>
      <c r="T13" s="4">
        <v>512.0</v>
      </c>
      <c r="U13" s="2"/>
      <c r="V13" s="4">
        <v>510.0</v>
      </c>
      <c r="W13" s="2"/>
      <c r="X13" s="4">
        <v>508.0</v>
      </c>
      <c r="Y13" s="1"/>
      <c r="Z13" s="4">
        <v>121.0</v>
      </c>
      <c r="AA13" s="2"/>
      <c r="AB13" s="4">
        <v>123.0</v>
      </c>
      <c r="AC13" s="2"/>
      <c r="AD13" s="4">
        <v>125.0</v>
      </c>
      <c r="AE13" s="5"/>
    </row>
    <row r="14">
      <c r="A14" s="5"/>
      <c r="B14" s="5"/>
      <c r="C14" s="1"/>
      <c r="D14" s="2"/>
      <c r="E14" s="4">
        <v>776.0</v>
      </c>
      <c r="F14" s="2"/>
      <c r="G14" s="4">
        <v>774.0</v>
      </c>
      <c r="H14" s="1"/>
      <c r="I14" s="2"/>
      <c r="J14" s="4">
        <v>493.0</v>
      </c>
      <c r="K14" s="2"/>
      <c r="L14" s="4">
        <v>495.0</v>
      </c>
      <c r="M14" s="2"/>
      <c r="N14" s="4">
        <v>497.0</v>
      </c>
      <c r="O14" s="2"/>
      <c r="P14" s="4">
        <v>499.0</v>
      </c>
      <c r="Q14" s="2"/>
      <c r="R14" s="4">
        <v>501.0</v>
      </c>
      <c r="S14" s="2"/>
      <c r="T14" s="4">
        <v>503.0</v>
      </c>
      <c r="U14" s="2"/>
      <c r="V14" s="4">
        <v>505.0</v>
      </c>
      <c r="W14" s="2"/>
      <c r="X14" s="4">
        <v>507.0</v>
      </c>
      <c r="Y14" s="1"/>
      <c r="Z14" s="4">
        <v>120.0</v>
      </c>
      <c r="AA14" s="2"/>
      <c r="AB14" s="4">
        <v>118.0</v>
      </c>
      <c r="AC14" s="63">
        <v>155.0</v>
      </c>
      <c r="AD14" s="5"/>
      <c r="AE14" s="5"/>
    </row>
    <row r="15">
      <c r="A15" s="5"/>
      <c r="B15" s="28"/>
      <c r="C15" s="29"/>
      <c r="D15" s="2"/>
      <c r="E15" s="2"/>
      <c r="F15" s="2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2"/>
      <c r="AA15" s="2"/>
      <c r="AB15" s="2"/>
      <c r="AC15" s="2"/>
      <c r="AD15" s="28"/>
      <c r="AE15" s="28"/>
    </row>
    <row r="16">
      <c r="A16" s="5"/>
      <c r="B16" s="30"/>
      <c r="C16" s="2"/>
      <c r="D16" s="2"/>
      <c r="E16" s="2"/>
      <c r="F16" s="2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"/>
      <c r="Z16" s="2"/>
      <c r="AA16" s="2"/>
      <c r="AB16" s="2"/>
      <c r="AC16" s="2"/>
      <c r="AD16" s="2"/>
      <c r="AE16" s="2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83"/>
      <c r="B18" s="83" t="s">
        <v>12</v>
      </c>
    </row>
    <row r="20">
      <c r="B20" s="84" t="s">
        <v>13</v>
      </c>
      <c r="P20" s="70">
        <f>5*16 + 6*6 + 13*2 + 12</f>
        <v>154</v>
      </c>
    </row>
  </sheetData>
  <mergeCells count="3">
    <mergeCell ref="A7:A8"/>
    <mergeCell ref="B18:AE18"/>
    <mergeCell ref="B20:N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6.13"/>
  </cols>
  <sheetData>
    <row r="1">
      <c r="A1" s="5"/>
      <c r="B1" s="5"/>
      <c r="C1" s="5"/>
      <c r="D1" s="5"/>
      <c r="E1" s="85" t="s">
        <v>14</v>
      </c>
      <c r="F1" s="22"/>
      <c r="G1" s="22"/>
      <c r="H1" s="22"/>
      <c r="I1" s="22"/>
      <c r="J1" s="22"/>
      <c r="K1" s="23"/>
      <c r="L1" s="5"/>
      <c r="M1" s="5"/>
      <c r="N1" s="5"/>
      <c r="O1" s="5"/>
    </row>
    <row r="2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>
      <c r="A3" s="5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</row>
    <row r="4">
      <c r="A4" s="29"/>
      <c r="B4" s="63">
        <v>60.0</v>
      </c>
      <c r="C4" s="4">
        <v>51.0</v>
      </c>
      <c r="D4" s="2"/>
      <c r="E4" s="4">
        <v>49.0</v>
      </c>
      <c r="F4" s="2"/>
      <c r="G4" s="4">
        <v>47.0</v>
      </c>
      <c r="H4" s="1"/>
      <c r="I4" s="4">
        <v>107.0</v>
      </c>
      <c r="J4" s="2"/>
      <c r="K4" s="4">
        <v>105.0</v>
      </c>
      <c r="L4" s="2"/>
      <c r="M4" s="4">
        <v>103.0</v>
      </c>
      <c r="N4" s="2"/>
      <c r="O4" s="28"/>
      <c r="P4" s="60"/>
    </row>
    <row r="5">
      <c r="A5" s="80">
        <v>40.0</v>
      </c>
      <c r="B5" s="2"/>
      <c r="C5" s="4">
        <v>42.0</v>
      </c>
      <c r="D5" s="2"/>
      <c r="E5" s="4">
        <v>44.0</v>
      </c>
      <c r="F5" s="2"/>
      <c r="G5" s="4">
        <v>46.0</v>
      </c>
      <c r="H5" s="1"/>
      <c r="I5" s="4">
        <v>95.0</v>
      </c>
      <c r="J5" s="2"/>
      <c r="K5" s="4">
        <v>97.0</v>
      </c>
      <c r="L5" s="2"/>
      <c r="M5" s="4">
        <v>99.0</v>
      </c>
      <c r="N5" s="2"/>
      <c r="O5" s="4">
        <v>101.0</v>
      </c>
      <c r="P5" s="60"/>
    </row>
    <row r="6">
      <c r="A6" s="80">
        <v>39.0</v>
      </c>
      <c r="B6" s="2"/>
      <c r="C6" s="4">
        <v>37.0</v>
      </c>
      <c r="D6" s="2"/>
      <c r="E6" s="4">
        <v>35.0</v>
      </c>
      <c r="F6" s="2"/>
      <c r="G6" s="4">
        <v>33.0</v>
      </c>
      <c r="H6" s="1"/>
      <c r="I6" s="4">
        <v>94.0</v>
      </c>
      <c r="J6" s="2"/>
      <c r="K6" s="4">
        <v>92.0</v>
      </c>
      <c r="L6" s="2"/>
      <c r="M6" s="4">
        <v>90.0</v>
      </c>
      <c r="N6" s="2"/>
      <c r="O6" s="4">
        <v>88.0</v>
      </c>
      <c r="P6" s="60"/>
    </row>
    <row r="7">
      <c r="A7" s="80">
        <v>26.0</v>
      </c>
      <c r="B7" s="2"/>
      <c r="C7" s="4">
        <v>28.0</v>
      </c>
      <c r="D7" s="2"/>
      <c r="E7" s="4">
        <v>30.0</v>
      </c>
      <c r="F7" s="2"/>
      <c r="G7" s="4">
        <v>32.0</v>
      </c>
      <c r="H7" s="1"/>
      <c r="I7" s="4">
        <v>81.0</v>
      </c>
      <c r="J7" s="2"/>
      <c r="K7" s="4">
        <v>83.0</v>
      </c>
      <c r="L7" s="2"/>
      <c r="M7" s="4">
        <v>85.0</v>
      </c>
      <c r="N7" s="2"/>
      <c r="O7" s="4">
        <v>87.0</v>
      </c>
      <c r="P7" s="60"/>
    </row>
    <row r="8">
      <c r="A8" s="80">
        <v>25.0</v>
      </c>
      <c r="B8" s="2"/>
      <c r="C8" s="4">
        <v>23.0</v>
      </c>
      <c r="D8" s="2"/>
      <c r="E8" s="4">
        <v>21.0</v>
      </c>
      <c r="F8" s="2"/>
      <c r="G8" s="4">
        <v>19.0</v>
      </c>
      <c r="H8" s="1"/>
      <c r="I8" s="4">
        <v>80.0</v>
      </c>
      <c r="J8" s="2"/>
      <c r="K8" s="4">
        <v>78.0</v>
      </c>
      <c r="L8" s="2"/>
      <c r="M8" s="4">
        <v>76.0</v>
      </c>
      <c r="N8" s="2"/>
      <c r="O8" s="4">
        <v>74.0</v>
      </c>
      <c r="P8" s="60"/>
    </row>
    <row r="9">
      <c r="A9" s="80">
        <v>12.0</v>
      </c>
      <c r="B9" s="2"/>
      <c r="C9" s="4">
        <v>14.0</v>
      </c>
      <c r="D9" s="2"/>
      <c r="E9" s="4">
        <v>16.0</v>
      </c>
      <c r="F9" s="2"/>
      <c r="G9" s="4">
        <v>18.0</v>
      </c>
      <c r="H9" s="1"/>
      <c r="I9" s="4">
        <v>67.0</v>
      </c>
      <c r="J9" s="2"/>
      <c r="K9" s="4">
        <v>69.0</v>
      </c>
      <c r="L9" s="2"/>
      <c r="M9" s="4">
        <v>71.0</v>
      </c>
      <c r="N9" s="2"/>
      <c r="O9" s="4">
        <v>73.0</v>
      </c>
      <c r="P9" s="60"/>
    </row>
    <row r="10">
      <c r="A10" s="87">
        <v>11.0</v>
      </c>
      <c r="B10" s="7"/>
      <c r="C10" s="6">
        <v>9.0</v>
      </c>
      <c r="D10" s="2"/>
      <c r="E10" s="4">
        <v>7.0</v>
      </c>
      <c r="F10" s="2"/>
      <c r="G10" s="88" t="s">
        <v>15</v>
      </c>
      <c r="H10" s="1"/>
      <c r="I10" s="4">
        <v>66.0</v>
      </c>
      <c r="J10" s="2"/>
      <c r="K10" s="4">
        <v>64.0</v>
      </c>
      <c r="L10" s="2"/>
      <c r="M10" s="4">
        <v>62.0</v>
      </c>
      <c r="N10" s="2"/>
      <c r="O10" s="4">
        <v>60.0</v>
      </c>
      <c r="P10" s="60"/>
    </row>
    <row r="11">
      <c r="A11" s="89" t="s">
        <v>1</v>
      </c>
      <c r="B11" s="66"/>
      <c r="C11" s="90" t="s">
        <v>2</v>
      </c>
      <c r="D11" s="63">
        <v>11.0</v>
      </c>
      <c r="E11" s="4">
        <v>2.0</v>
      </c>
      <c r="F11" s="63">
        <v>9.0</v>
      </c>
      <c r="G11" s="4">
        <v>4.0</v>
      </c>
      <c r="H11" s="1"/>
      <c r="I11" s="4">
        <v>53.0</v>
      </c>
      <c r="J11" s="63">
        <v>6.0</v>
      </c>
      <c r="K11" s="4">
        <v>55.0</v>
      </c>
      <c r="L11" s="63">
        <v>4.0</v>
      </c>
      <c r="M11" s="4">
        <v>57.0</v>
      </c>
      <c r="N11" s="63" t="s">
        <v>16</v>
      </c>
      <c r="O11" s="4">
        <v>59.0</v>
      </c>
      <c r="P11" s="60"/>
    </row>
    <row r="12">
      <c r="A12" s="5"/>
      <c r="B12" s="5"/>
      <c r="C12" s="5"/>
      <c r="D12" s="5"/>
      <c r="E12" s="5"/>
      <c r="F12" s="28"/>
      <c r="G12" s="28"/>
      <c r="H12" s="28"/>
      <c r="I12" s="28"/>
      <c r="J12" s="28"/>
      <c r="K12" s="28"/>
      <c r="L12" s="5"/>
      <c r="M12" s="5"/>
      <c r="N12" s="5"/>
      <c r="O12" s="5"/>
      <c r="P12" s="60"/>
    </row>
    <row r="13">
      <c r="A13" s="71">
        <f>6*2 + 7*2+8*4</f>
        <v>58</v>
      </c>
      <c r="B13" s="71"/>
      <c r="C13" s="71"/>
      <c r="D13" s="71"/>
      <c r="E13" s="91"/>
      <c r="F13" s="92" t="s">
        <v>17</v>
      </c>
      <c r="G13" s="22"/>
      <c r="H13" s="22"/>
      <c r="I13" s="22"/>
      <c r="J13" s="22"/>
      <c r="K13" s="23"/>
      <c r="L13" s="93"/>
      <c r="M13" s="71"/>
      <c r="N13" s="71"/>
      <c r="O13" s="71"/>
      <c r="P13" s="94" t="s">
        <v>3</v>
      </c>
      <c r="Q13" s="95"/>
    </row>
  </sheetData>
  <mergeCells count="3">
    <mergeCell ref="E1:K1"/>
    <mergeCell ref="F13:K13"/>
    <mergeCell ref="P13:P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7" width="6.25"/>
  </cols>
  <sheetData>
    <row r="1">
      <c r="A1" s="55"/>
      <c r="B1" s="55"/>
      <c r="C1" s="55"/>
      <c r="D1" s="55"/>
      <c r="E1" s="96" t="s">
        <v>18</v>
      </c>
      <c r="F1" s="22"/>
      <c r="G1" s="22"/>
      <c r="H1" s="22"/>
      <c r="I1" s="22"/>
      <c r="J1" s="22"/>
      <c r="K1" s="22"/>
      <c r="L1" s="23"/>
      <c r="M1" s="55"/>
      <c r="N1" s="55"/>
      <c r="O1" s="55"/>
      <c r="P1" s="55"/>
    </row>
    <row r="2">
      <c r="A2" s="55"/>
      <c r="B2" s="86"/>
      <c r="C2" s="86"/>
      <c r="D2" s="86"/>
      <c r="E2" s="86"/>
      <c r="F2" s="86"/>
      <c r="G2" s="86"/>
      <c r="H2" s="86"/>
      <c r="I2" s="55"/>
      <c r="J2" s="86"/>
      <c r="K2" s="86"/>
      <c r="L2" s="86"/>
      <c r="M2" s="86"/>
      <c r="N2" s="86"/>
      <c r="O2" s="86"/>
      <c r="P2" s="86"/>
    </row>
    <row r="3">
      <c r="A3" s="71"/>
      <c r="B3" s="80">
        <v>67.0</v>
      </c>
      <c r="C3" s="2"/>
      <c r="D3" s="4">
        <v>65.0</v>
      </c>
      <c r="E3" s="2"/>
      <c r="F3" s="4">
        <v>63.0</v>
      </c>
      <c r="G3" s="2"/>
      <c r="H3" s="4">
        <v>61.0</v>
      </c>
      <c r="I3" s="1"/>
      <c r="J3" s="4">
        <v>137.0</v>
      </c>
      <c r="K3" s="2"/>
      <c r="L3" s="4">
        <v>135.0</v>
      </c>
      <c r="M3" s="2"/>
      <c r="N3" s="4">
        <v>133.0</v>
      </c>
      <c r="O3" s="2"/>
      <c r="P3" s="4">
        <v>131.0</v>
      </c>
    </row>
    <row r="4">
      <c r="A4" s="71"/>
      <c r="B4" s="80">
        <v>54.0</v>
      </c>
      <c r="C4" s="2"/>
      <c r="D4" s="4">
        <v>56.0</v>
      </c>
      <c r="E4" s="2"/>
      <c r="F4" s="4">
        <v>58.0</v>
      </c>
      <c r="G4" s="2"/>
      <c r="H4" s="4">
        <v>60.0</v>
      </c>
      <c r="I4" s="1"/>
      <c r="J4" s="4">
        <v>124.0</v>
      </c>
      <c r="K4" s="2"/>
      <c r="L4" s="4">
        <v>126.0</v>
      </c>
      <c r="M4" s="2"/>
      <c r="N4" s="4">
        <v>128.0</v>
      </c>
      <c r="O4" s="2"/>
      <c r="P4" s="4">
        <v>130.0</v>
      </c>
    </row>
    <row r="5">
      <c r="A5" s="71"/>
      <c r="B5" s="80">
        <v>53.0</v>
      </c>
      <c r="C5" s="2"/>
      <c r="D5" s="4">
        <v>51.0</v>
      </c>
      <c r="E5" s="2"/>
      <c r="F5" s="4">
        <v>49.0</v>
      </c>
      <c r="G5" s="2"/>
      <c r="H5" s="4">
        <v>47.0</v>
      </c>
      <c r="I5" s="1"/>
      <c r="J5" s="4">
        <v>123.0</v>
      </c>
      <c r="K5" s="2"/>
      <c r="L5" s="4">
        <v>121.0</v>
      </c>
      <c r="M5" s="2"/>
      <c r="N5" s="4">
        <v>119.0</v>
      </c>
      <c r="O5" s="2"/>
      <c r="P5" s="4">
        <v>117.0</v>
      </c>
      <c r="Q5" s="60"/>
    </row>
    <row r="6">
      <c r="A6" s="71"/>
      <c r="B6" s="80">
        <v>40.0</v>
      </c>
      <c r="C6" s="2"/>
      <c r="D6" s="4">
        <v>42.0</v>
      </c>
      <c r="E6" s="2"/>
      <c r="F6" s="4">
        <v>44.0</v>
      </c>
      <c r="G6" s="2"/>
      <c r="H6" s="4">
        <v>46.0</v>
      </c>
      <c r="I6" s="1"/>
      <c r="J6" s="4">
        <v>110.0</v>
      </c>
      <c r="K6" s="2"/>
      <c r="L6" s="4">
        <v>112.0</v>
      </c>
      <c r="M6" s="2"/>
      <c r="N6" s="4">
        <v>114.0</v>
      </c>
      <c r="O6" s="2"/>
      <c r="P6" s="4">
        <v>116.0</v>
      </c>
      <c r="Q6" s="60"/>
    </row>
    <row r="7">
      <c r="A7" s="71"/>
      <c r="B7" s="80">
        <v>39.0</v>
      </c>
      <c r="C7" s="2"/>
      <c r="D7" s="4">
        <v>37.0</v>
      </c>
      <c r="E7" s="2"/>
      <c r="F7" s="4">
        <v>35.0</v>
      </c>
      <c r="G7" s="2"/>
      <c r="H7" s="4">
        <v>33.0</v>
      </c>
      <c r="I7" s="1"/>
      <c r="J7" s="4">
        <v>109.0</v>
      </c>
      <c r="K7" s="2"/>
      <c r="L7" s="4">
        <v>107.0</v>
      </c>
      <c r="M7" s="2"/>
      <c r="N7" s="4">
        <v>105.0</v>
      </c>
      <c r="O7" s="2"/>
      <c r="P7" s="4">
        <v>103.0</v>
      </c>
      <c r="Q7" s="60"/>
    </row>
    <row r="8">
      <c r="A8" s="71"/>
      <c r="B8" s="80">
        <v>26.0</v>
      </c>
      <c r="C8" s="2"/>
      <c r="D8" s="4">
        <v>28.0</v>
      </c>
      <c r="E8" s="2"/>
      <c r="F8" s="4">
        <v>30.0</v>
      </c>
      <c r="G8" s="2"/>
      <c r="H8" s="4">
        <v>32.0</v>
      </c>
      <c r="I8" s="1"/>
      <c r="J8" s="4">
        <v>96.0</v>
      </c>
      <c r="K8" s="2"/>
      <c r="L8" s="4">
        <v>98.0</v>
      </c>
      <c r="M8" s="2"/>
      <c r="N8" s="4">
        <v>100.0</v>
      </c>
      <c r="O8" s="2"/>
      <c r="P8" s="4">
        <v>102.0</v>
      </c>
      <c r="Q8" s="60"/>
    </row>
    <row r="9">
      <c r="A9" s="71"/>
      <c r="B9" s="80">
        <v>25.0</v>
      </c>
      <c r="C9" s="2"/>
      <c r="D9" s="4">
        <v>23.0</v>
      </c>
      <c r="E9" s="2"/>
      <c r="F9" s="4">
        <v>21.0</v>
      </c>
      <c r="G9" s="2"/>
      <c r="H9" s="4">
        <v>19.0</v>
      </c>
      <c r="I9" s="1"/>
      <c r="J9" s="4">
        <v>95.0</v>
      </c>
      <c r="K9" s="2"/>
      <c r="L9" s="4">
        <v>93.0</v>
      </c>
      <c r="M9" s="2"/>
      <c r="N9" s="4">
        <v>91.0</v>
      </c>
      <c r="O9" s="2"/>
      <c r="P9" s="4">
        <v>89.0</v>
      </c>
      <c r="Q9" s="60"/>
    </row>
    <row r="10">
      <c r="A10" s="71"/>
      <c r="B10" s="80">
        <v>12.0</v>
      </c>
      <c r="C10" s="2"/>
      <c r="D10" s="4">
        <v>14.0</v>
      </c>
      <c r="E10" s="2"/>
      <c r="F10" s="4">
        <v>16.0</v>
      </c>
      <c r="G10" s="2"/>
      <c r="H10" s="4">
        <v>18.0</v>
      </c>
      <c r="I10" s="1"/>
      <c r="J10" s="4">
        <v>82.0</v>
      </c>
      <c r="K10" s="2"/>
      <c r="L10" s="4">
        <v>84.0</v>
      </c>
      <c r="M10" s="2"/>
      <c r="N10" s="4">
        <v>86.0</v>
      </c>
      <c r="O10" s="2"/>
      <c r="P10" s="4">
        <v>88.0</v>
      </c>
      <c r="Q10" s="60"/>
    </row>
    <row r="11">
      <c r="A11" s="71"/>
      <c r="B11" s="87">
        <v>11.0</v>
      </c>
      <c r="C11" s="2"/>
      <c r="D11" s="6">
        <v>9.0</v>
      </c>
      <c r="E11" s="2"/>
      <c r="F11" s="4">
        <v>7.0</v>
      </c>
      <c r="G11" s="2"/>
      <c r="H11" s="97">
        <v>5.0</v>
      </c>
      <c r="I11" s="1"/>
      <c r="J11" s="4">
        <v>81.0</v>
      </c>
      <c r="K11" s="2"/>
      <c r="L11" s="4">
        <v>79.0</v>
      </c>
      <c r="M11" s="2"/>
      <c r="N11" s="4">
        <v>77.0</v>
      </c>
      <c r="O11" s="2"/>
      <c r="P11" s="4">
        <v>75.0</v>
      </c>
      <c r="Q11" s="60"/>
    </row>
    <row r="12">
      <c r="A12" s="71"/>
      <c r="B12" s="89" t="s">
        <v>1</v>
      </c>
      <c r="C12" s="66"/>
      <c r="D12" s="90" t="s">
        <v>2</v>
      </c>
      <c r="E12" s="63">
        <v>11.0</v>
      </c>
      <c r="F12" s="4">
        <v>2.0</v>
      </c>
      <c r="G12" s="63">
        <v>9.0</v>
      </c>
      <c r="H12" s="4">
        <v>4.0</v>
      </c>
      <c r="I12" s="1"/>
      <c r="J12" s="4">
        <v>68.0</v>
      </c>
      <c r="K12" s="63">
        <v>4.0</v>
      </c>
      <c r="L12" s="4">
        <v>70.0</v>
      </c>
      <c r="M12" s="63">
        <v>3.0</v>
      </c>
      <c r="N12" s="4">
        <v>72.0</v>
      </c>
      <c r="O12" s="63">
        <v>2.0</v>
      </c>
      <c r="P12" s="4">
        <v>74.0</v>
      </c>
      <c r="Q12" s="60"/>
    </row>
    <row r="13">
      <c r="A13" s="5"/>
      <c r="B13" s="5"/>
      <c r="C13" s="5"/>
      <c r="D13" s="5"/>
      <c r="E13" s="5"/>
      <c r="F13" s="28"/>
      <c r="G13" s="28"/>
      <c r="H13" s="28"/>
      <c r="I13" s="28"/>
      <c r="J13" s="28"/>
      <c r="K13" s="28"/>
      <c r="L13" s="28"/>
      <c r="M13" s="5"/>
      <c r="N13" s="5"/>
      <c r="O13" s="5"/>
      <c r="P13" s="5"/>
      <c r="Q13" s="60"/>
    </row>
    <row r="14">
      <c r="A14" s="98"/>
      <c r="B14" s="98">
        <f>9*2+10*6</f>
        <v>78</v>
      </c>
      <c r="C14" s="98"/>
      <c r="D14" s="98"/>
      <c r="E14" s="99"/>
      <c r="F14" s="100" t="s">
        <v>19</v>
      </c>
      <c r="G14" s="22"/>
      <c r="H14" s="22"/>
      <c r="I14" s="22"/>
      <c r="J14" s="22"/>
      <c r="K14" s="22"/>
      <c r="L14" s="23"/>
      <c r="M14" s="101"/>
      <c r="N14" s="98"/>
      <c r="O14" s="98"/>
      <c r="P14" s="98"/>
      <c r="Q14" s="102" t="s">
        <v>3</v>
      </c>
    </row>
  </sheetData>
  <mergeCells count="2">
    <mergeCell ref="E1:L1"/>
    <mergeCell ref="F14:L1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6.13"/>
    <col customWidth="1" min="3" max="3" width="6.38"/>
    <col customWidth="1" min="4" max="4" width="6.5"/>
    <col customWidth="1" min="5" max="5" width="6.75"/>
    <col customWidth="1" min="6" max="6" width="6.0"/>
    <col customWidth="1" min="7" max="7" width="6.13"/>
    <col customWidth="1" min="8" max="8" width="6.5"/>
    <col customWidth="1" min="9" max="11" width="6.75"/>
    <col customWidth="1" min="12" max="12" width="6.25"/>
    <col customWidth="1" min="13" max="13" width="6.75"/>
    <col customWidth="1" min="14" max="14" width="6.63"/>
    <col customWidth="1" min="15" max="15" width="6.88"/>
    <col customWidth="1" min="16" max="16" width="6.38"/>
  </cols>
  <sheetData>
    <row r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</row>
    <row r="2">
      <c r="A2" s="103"/>
      <c r="B2" s="104">
        <v>67.0</v>
      </c>
      <c r="C2" s="105"/>
      <c r="D2" s="106">
        <v>65.0</v>
      </c>
      <c r="E2" s="105"/>
      <c r="F2" s="106">
        <v>63.0</v>
      </c>
      <c r="G2" s="105"/>
      <c r="H2" s="106">
        <v>61.0</v>
      </c>
      <c r="I2" s="103"/>
      <c r="J2" s="106">
        <v>137.0</v>
      </c>
      <c r="K2" s="105"/>
      <c r="L2" s="106">
        <v>135.0</v>
      </c>
      <c r="M2" s="105"/>
      <c r="N2" s="106">
        <v>133.0</v>
      </c>
      <c r="O2" s="105"/>
      <c r="P2" s="104">
        <v>130.0</v>
      </c>
      <c r="Q2" s="103"/>
    </row>
    <row r="3">
      <c r="A3" s="103"/>
      <c r="B3" s="106">
        <v>54.0</v>
      </c>
      <c r="C3" s="105"/>
      <c r="D3" s="106">
        <v>56.0</v>
      </c>
      <c r="E3" s="107">
        <v>58.0</v>
      </c>
      <c r="F3" s="106">
        <v>58.0</v>
      </c>
      <c r="G3" s="107">
        <v>6.0</v>
      </c>
      <c r="H3" s="106">
        <v>60.0</v>
      </c>
      <c r="I3" s="103"/>
      <c r="J3" s="106">
        <v>123.0</v>
      </c>
      <c r="K3" s="105"/>
      <c r="L3" s="106">
        <v>125.0</v>
      </c>
      <c r="M3" s="105"/>
      <c r="N3" s="106">
        <v>127.0</v>
      </c>
      <c r="O3" s="105"/>
      <c r="P3" s="106">
        <v>129.0</v>
      </c>
      <c r="Q3" s="103"/>
    </row>
    <row r="4">
      <c r="A4" s="103"/>
      <c r="B4" s="106">
        <v>53.0</v>
      </c>
      <c r="C4" s="105"/>
      <c r="D4" s="106">
        <v>51.0</v>
      </c>
      <c r="E4" s="105"/>
      <c r="F4" s="106">
        <v>49.0</v>
      </c>
      <c r="G4" s="105"/>
      <c r="H4" s="106">
        <v>47.0</v>
      </c>
      <c r="I4" s="103"/>
      <c r="J4" s="106">
        <v>122.0</v>
      </c>
      <c r="K4" s="105"/>
      <c r="L4" s="106">
        <v>120.0</v>
      </c>
      <c r="M4" s="105"/>
      <c r="N4" s="106">
        <v>118.0</v>
      </c>
      <c r="O4" s="105"/>
      <c r="P4" s="106">
        <v>116.0</v>
      </c>
      <c r="Q4" s="103"/>
    </row>
    <row r="5">
      <c r="A5" s="103"/>
      <c r="B5" s="106">
        <v>40.0</v>
      </c>
      <c r="C5" s="105"/>
      <c r="D5" s="106">
        <v>42.0</v>
      </c>
      <c r="E5" s="107">
        <v>44.0</v>
      </c>
      <c r="F5" s="106">
        <v>44.0</v>
      </c>
      <c r="G5" s="105"/>
      <c r="H5" s="106">
        <v>46.0</v>
      </c>
      <c r="I5" s="103"/>
      <c r="J5" s="106">
        <v>109.0</v>
      </c>
      <c r="K5" s="105"/>
      <c r="L5" s="106">
        <v>111.0</v>
      </c>
      <c r="M5" s="105"/>
      <c r="N5" s="106">
        <v>113.0</v>
      </c>
      <c r="O5" s="105"/>
      <c r="P5" s="106">
        <v>115.0</v>
      </c>
      <c r="Q5" s="103"/>
    </row>
    <row r="6">
      <c r="A6" s="103"/>
      <c r="B6" s="106">
        <v>39.0</v>
      </c>
      <c r="C6" s="108">
        <v>71.0</v>
      </c>
      <c r="D6" s="106">
        <v>37.0</v>
      </c>
      <c r="E6" s="108">
        <v>73.0</v>
      </c>
      <c r="F6" s="106">
        <v>35.0</v>
      </c>
      <c r="G6" s="108">
        <v>75.0</v>
      </c>
      <c r="H6" s="106">
        <v>33.0</v>
      </c>
      <c r="I6" s="103"/>
      <c r="J6" s="106">
        <v>108.0</v>
      </c>
      <c r="K6" s="108">
        <v>78.0</v>
      </c>
      <c r="L6" s="106">
        <v>106.0</v>
      </c>
      <c r="M6" s="108">
        <v>80.0</v>
      </c>
      <c r="N6" s="106">
        <v>104.0</v>
      </c>
      <c r="O6" s="108">
        <v>82.0</v>
      </c>
      <c r="P6" s="106">
        <v>102.0</v>
      </c>
      <c r="Q6" s="103"/>
    </row>
    <row r="7">
      <c r="A7" s="103"/>
      <c r="B7" s="106">
        <v>26.0</v>
      </c>
      <c r="C7" s="108">
        <v>68.0</v>
      </c>
      <c r="D7" s="106">
        <v>28.0</v>
      </c>
      <c r="E7" s="108">
        <v>66.0</v>
      </c>
      <c r="F7" s="106">
        <v>30.0</v>
      </c>
      <c r="G7" s="108">
        <v>64.0</v>
      </c>
      <c r="H7" s="106">
        <v>32.0</v>
      </c>
      <c r="I7" s="103"/>
      <c r="J7" s="106">
        <v>95.0</v>
      </c>
      <c r="K7" s="108">
        <v>61.0</v>
      </c>
      <c r="L7" s="106">
        <v>97.0</v>
      </c>
      <c r="M7" s="108">
        <v>59.0</v>
      </c>
      <c r="N7" s="106">
        <v>99.0</v>
      </c>
      <c r="O7" s="108">
        <v>57.0</v>
      </c>
      <c r="P7" s="106">
        <v>101.0</v>
      </c>
      <c r="Q7" s="103"/>
    </row>
    <row r="8">
      <c r="A8" s="103"/>
      <c r="B8" s="106">
        <v>25.0</v>
      </c>
      <c r="C8" s="108">
        <v>43.0</v>
      </c>
      <c r="D8" s="106">
        <v>23.0</v>
      </c>
      <c r="E8" s="108">
        <v>45.0</v>
      </c>
      <c r="F8" s="106">
        <v>21.0</v>
      </c>
      <c r="G8" s="108">
        <v>47.0</v>
      </c>
      <c r="H8" s="106">
        <v>19.0</v>
      </c>
      <c r="I8" s="103"/>
      <c r="J8" s="106">
        <v>94.0</v>
      </c>
      <c r="K8" s="108">
        <v>50.0</v>
      </c>
      <c r="L8" s="106">
        <v>92.0</v>
      </c>
      <c r="M8" s="108">
        <v>52.0</v>
      </c>
      <c r="N8" s="106">
        <v>90.0</v>
      </c>
      <c r="O8" s="108">
        <v>54.0</v>
      </c>
      <c r="P8" s="106">
        <v>88.0</v>
      </c>
      <c r="Q8" s="103"/>
    </row>
    <row r="9">
      <c r="A9" s="103"/>
      <c r="B9" s="106">
        <v>12.0</v>
      </c>
      <c r="C9" s="108">
        <v>40.0</v>
      </c>
      <c r="D9" s="106">
        <v>14.0</v>
      </c>
      <c r="E9" s="108">
        <v>38.0</v>
      </c>
      <c r="F9" s="106">
        <v>16.0</v>
      </c>
      <c r="G9" s="108">
        <v>36.0</v>
      </c>
      <c r="H9" s="106">
        <v>18.0</v>
      </c>
      <c r="I9" s="103"/>
      <c r="J9" s="106">
        <v>81.0</v>
      </c>
      <c r="K9" s="108">
        <v>33.0</v>
      </c>
      <c r="L9" s="106">
        <v>83.0</v>
      </c>
      <c r="M9" s="108">
        <v>31.0</v>
      </c>
      <c r="N9" s="106">
        <v>85.0</v>
      </c>
      <c r="O9" s="108">
        <v>29.0</v>
      </c>
      <c r="P9" s="106">
        <v>87.0</v>
      </c>
      <c r="Q9" s="103"/>
    </row>
    <row r="10">
      <c r="A10" s="103"/>
      <c r="B10" s="106">
        <v>11.0</v>
      </c>
      <c r="C10" s="108">
        <v>16.0</v>
      </c>
      <c r="D10" s="106">
        <v>9.0</v>
      </c>
      <c r="E10" s="108">
        <v>18.0</v>
      </c>
      <c r="F10" s="106">
        <v>7.0</v>
      </c>
      <c r="G10" s="108">
        <v>20.0</v>
      </c>
      <c r="H10" s="109">
        <v>5.0</v>
      </c>
      <c r="I10" s="103"/>
      <c r="J10" s="106">
        <v>80.0</v>
      </c>
      <c r="K10" s="108">
        <v>22.0</v>
      </c>
      <c r="L10" s="106">
        <v>78.0</v>
      </c>
      <c r="M10" s="108">
        <v>24.0</v>
      </c>
      <c r="N10" s="106">
        <v>76.0</v>
      </c>
      <c r="O10" s="108">
        <v>26.0</v>
      </c>
      <c r="P10" s="106">
        <v>74.0</v>
      </c>
      <c r="Q10" s="103"/>
    </row>
    <row r="11">
      <c r="A11" s="103"/>
      <c r="B11" s="106" t="s">
        <v>20</v>
      </c>
      <c r="C11" s="108">
        <v>13.0</v>
      </c>
      <c r="D11" s="106" t="s">
        <v>21</v>
      </c>
      <c r="E11" s="110">
        <v>11.0</v>
      </c>
      <c r="F11" s="111">
        <v>2.0</v>
      </c>
      <c r="G11" s="112">
        <v>4.0</v>
      </c>
      <c r="H11" s="113">
        <v>4.0</v>
      </c>
      <c r="I11" s="103"/>
      <c r="J11" s="106">
        <v>67.0</v>
      </c>
      <c r="K11" s="108">
        <v>6.0</v>
      </c>
      <c r="L11" s="106">
        <v>69.0</v>
      </c>
      <c r="M11" s="108">
        <v>4.0</v>
      </c>
      <c r="N11" s="106">
        <v>71.0</v>
      </c>
      <c r="O11" s="104">
        <v>73.0</v>
      </c>
      <c r="P11" s="106">
        <v>73.0</v>
      </c>
      <c r="Q11" s="103"/>
    </row>
    <row r="1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</row>
    <row r="13">
      <c r="A13" s="103"/>
      <c r="B13" s="114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03"/>
    </row>
    <row r="14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</row>
    <row r="15">
      <c r="A15" s="103"/>
      <c r="B15" s="115">
        <f>8*2+9+10*5</f>
        <v>75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03"/>
    </row>
  </sheetData>
  <mergeCells count="1">
    <mergeCell ref="B13:P1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50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6.13"/>
  </cols>
  <sheetData>
    <row r="1">
      <c r="A1" s="71"/>
      <c r="B1" s="116" t="s">
        <v>23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>
      <c r="B2" s="5"/>
      <c r="C2" s="5"/>
      <c r="D2" s="5"/>
      <c r="E2" s="5"/>
      <c r="F2" s="5"/>
      <c r="G2" s="5"/>
      <c r="H2" s="5"/>
      <c r="I2" s="5"/>
      <c r="J2" s="5"/>
      <c r="K2" s="5"/>
      <c r="L2" s="28"/>
      <c r="M2" s="28"/>
      <c r="N2" s="5"/>
      <c r="O2" s="117" t="s">
        <v>3</v>
      </c>
    </row>
    <row r="3">
      <c r="A3" s="71"/>
      <c r="B3" s="118"/>
      <c r="C3" s="106">
        <v>6.0</v>
      </c>
      <c r="D3" s="108">
        <v>2.0</v>
      </c>
      <c r="E3" s="106">
        <v>5.0</v>
      </c>
      <c r="F3" s="118"/>
      <c r="G3" s="106">
        <v>4.0</v>
      </c>
      <c r="H3" s="108">
        <v>2.0</v>
      </c>
      <c r="I3" s="106">
        <v>3.0</v>
      </c>
      <c r="J3" s="1"/>
      <c r="K3" s="106">
        <v>2.0</v>
      </c>
      <c r="L3" s="119"/>
      <c r="M3" s="120">
        <v>1.0</v>
      </c>
    </row>
    <row r="4">
      <c r="A4" s="71"/>
      <c r="C4" s="106">
        <v>12.0</v>
      </c>
      <c r="D4" s="119"/>
      <c r="E4" s="106">
        <v>11.0</v>
      </c>
      <c r="F4" s="118"/>
      <c r="G4" s="106">
        <v>10.0</v>
      </c>
      <c r="H4" s="119"/>
      <c r="I4" s="106">
        <v>9.0</v>
      </c>
      <c r="J4" s="1"/>
      <c r="K4" s="106">
        <v>8.0</v>
      </c>
      <c r="L4" s="119"/>
      <c r="M4" s="120">
        <v>7.0</v>
      </c>
    </row>
    <row r="5">
      <c r="A5" s="71"/>
      <c r="C5" s="106">
        <v>18.0</v>
      </c>
      <c r="D5" s="119"/>
      <c r="E5" s="106">
        <v>17.0</v>
      </c>
      <c r="F5" s="118"/>
      <c r="G5" s="106">
        <v>16.0</v>
      </c>
      <c r="H5" s="119"/>
      <c r="I5" s="106">
        <v>15.0</v>
      </c>
      <c r="J5" s="1"/>
      <c r="K5" s="106">
        <v>14.0</v>
      </c>
      <c r="L5" s="119"/>
      <c r="M5" s="120">
        <v>13.0</v>
      </c>
    </row>
    <row r="6">
      <c r="A6" s="71"/>
      <c r="C6" s="106">
        <v>24.0</v>
      </c>
      <c r="D6" s="119"/>
      <c r="E6" s="106">
        <v>23.0</v>
      </c>
      <c r="F6" s="118"/>
      <c r="G6" s="106">
        <v>22.0</v>
      </c>
      <c r="H6" s="119"/>
      <c r="I6" s="106">
        <v>21.0</v>
      </c>
      <c r="J6" s="1"/>
      <c r="K6" s="106">
        <v>20.0</v>
      </c>
      <c r="L6" s="119"/>
      <c r="M6" s="120">
        <v>19.0</v>
      </c>
    </row>
    <row r="7">
      <c r="A7" s="71"/>
      <c r="C7" s="106">
        <v>28.0</v>
      </c>
      <c r="D7" s="119"/>
      <c r="E7" s="106">
        <v>27.0</v>
      </c>
      <c r="F7" s="118"/>
      <c r="G7" s="106">
        <v>26.0</v>
      </c>
      <c r="H7" s="119"/>
      <c r="I7" s="106">
        <v>25.0</v>
      </c>
      <c r="J7" s="5"/>
    </row>
    <row r="8">
      <c r="A8" s="71"/>
      <c r="C8" s="121"/>
      <c r="D8" s="5"/>
      <c r="E8" s="122"/>
      <c r="F8" s="71"/>
      <c r="G8" s="71"/>
      <c r="H8" s="5"/>
      <c r="I8" s="71"/>
      <c r="J8" s="5"/>
      <c r="K8" s="71"/>
      <c r="L8" s="5"/>
      <c r="M8" s="71"/>
    </row>
    <row r="9">
      <c r="A9" s="71"/>
      <c r="C9" s="121"/>
      <c r="E9" s="123"/>
      <c r="F9" s="71"/>
      <c r="G9" s="121"/>
      <c r="H9" s="5"/>
      <c r="I9" s="5"/>
      <c r="J9" s="5"/>
      <c r="K9" s="71"/>
      <c r="L9" s="5"/>
      <c r="M9" s="71"/>
    </row>
    <row r="10">
      <c r="C10" s="121"/>
      <c r="E10" s="123"/>
      <c r="G10" s="121"/>
      <c r="H10" s="5"/>
      <c r="K10" s="71"/>
      <c r="L10" s="5"/>
      <c r="M10" s="71"/>
    </row>
    <row r="11">
      <c r="G11" s="121"/>
      <c r="H11" s="5"/>
      <c r="K11" s="71"/>
      <c r="L11" s="5"/>
      <c r="M11" s="71"/>
    </row>
  </sheetData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504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7" width="6.13"/>
  </cols>
  <sheetData>
    <row r="1">
      <c r="A1" s="71"/>
      <c r="B1" s="116" t="s">
        <v>24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</row>
    <row r="2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8"/>
      <c r="N2" s="28"/>
      <c r="O2" s="5"/>
      <c r="P2" s="117" t="s">
        <v>3</v>
      </c>
    </row>
    <row r="3">
      <c r="A3" s="71"/>
      <c r="B3" s="118"/>
      <c r="C3" s="118"/>
      <c r="D3" s="124"/>
      <c r="E3" s="125"/>
      <c r="G3" s="118"/>
      <c r="H3" s="72">
        <v>19.0</v>
      </c>
      <c r="I3" s="81"/>
      <c r="J3" s="5"/>
      <c r="K3" s="1"/>
      <c r="L3" s="72">
        <v>2.0</v>
      </c>
      <c r="M3" s="63">
        <v>2.0</v>
      </c>
      <c r="N3" s="126">
        <v>1.0</v>
      </c>
    </row>
    <row r="4">
      <c r="A4" s="71"/>
      <c r="B4" s="124"/>
      <c r="C4" s="106">
        <v>29.0</v>
      </c>
      <c r="D4" s="10"/>
      <c r="E4" s="120">
        <v>28.0</v>
      </c>
      <c r="G4" s="118"/>
      <c r="H4" s="72">
        <v>20.0</v>
      </c>
      <c r="I4" s="2"/>
      <c r="J4" s="5"/>
      <c r="K4" s="1"/>
      <c r="L4" s="4">
        <v>4.0</v>
      </c>
      <c r="M4" s="2"/>
      <c r="N4" s="4">
        <v>3.0</v>
      </c>
    </row>
    <row r="5">
      <c r="A5" s="71"/>
      <c r="B5" s="124"/>
      <c r="C5" s="106">
        <v>31.0</v>
      </c>
      <c r="D5" s="10"/>
      <c r="E5" s="120">
        <v>30.0</v>
      </c>
      <c r="G5" s="118"/>
      <c r="H5" s="72">
        <v>21.0</v>
      </c>
      <c r="I5" s="2"/>
      <c r="J5" s="5"/>
      <c r="K5" s="1"/>
      <c r="L5" s="4">
        <v>6.0</v>
      </c>
      <c r="M5" s="2"/>
      <c r="N5" s="4">
        <v>5.0</v>
      </c>
    </row>
    <row r="6">
      <c r="A6" s="71"/>
      <c r="B6" s="124"/>
      <c r="C6" s="106">
        <v>33.0</v>
      </c>
      <c r="D6" s="10"/>
      <c r="E6" s="120">
        <v>32.0</v>
      </c>
      <c r="G6" s="118"/>
      <c r="H6" s="72">
        <v>22.0</v>
      </c>
      <c r="I6" s="2"/>
      <c r="J6" s="5"/>
      <c r="K6" s="1"/>
      <c r="L6" s="4">
        <v>8.0</v>
      </c>
      <c r="M6" s="2"/>
      <c r="N6" s="4">
        <v>7.0</v>
      </c>
    </row>
    <row r="7">
      <c r="A7" s="71"/>
      <c r="B7" s="124"/>
      <c r="C7" s="106">
        <v>35.0</v>
      </c>
      <c r="D7" s="10"/>
      <c r="E7" s="120">
        <v>34.0</v>
      </c>
      <c r="F7" s="118"/>
      <c r="G7" s="118"/>
      <c r="H7" s="72">
        <v>23.0</v>
      </c>
      <c r="I7" s="2"/>
      <c r="J7" s="5"/>
      <c r="K7" s="1"/>
      <c r="L7" s="4">
        <v>10.0</v>
      </c>
      <c r="M7" s="2"/>
      <c r="N7" s="4">
        <v>9.0</v>
      </c>
    </row>
    <row r="8">
      <c r="A8" s="71"/>
      <c r="B8" s="124"/>
      <c r="C8" s="106">
        <v>37.0</v>
      </c>
      <c r="D8" s="81"/>
      <c r="E8" s="120">
        <v>36.0</v>
      </c>
      <c r="F8" s="118"/>
      <c r="G8" s="118"/>
      <c r="H8" s="106">
        <v>24.0</v>
      </c>
      <c r="I8" s="2"/>
      <c r="J8" s="5"/>
      <c r="K8" s="1"/>
      <c r="L8" s="4">
        <v>12.0</v>
      </c>
      <c r="M8" s="2"/>
      <c r="N8" s="4">
        <v>11.0</v>
      </c>
    </row>
    <row r="9">
      <c r="A9" s="71"/>
      <c r="B9" s="2"/>
      <c r="C9" s="8">
        <v>39.0</v>
      </c>
      <c r="D9" s="2"/>
      <c r="E9" s="120">
        <v>38.0</v>
      </c>
      <c r="F9" s="118"/>
      <c r="G9" s="118"/>
      <c r="H9" s="106">
        <v>25.0</v>
      </c>
      <c r="I9" s="2"/>
      <c r="J9" s="5"/>
      <c r="K9" s="124"/>
      <c r="L9" s="72">
        <v>14.0</v>
      </c>
      <c r="M9" s="2"/>
      <c r="N9" s="4">
        <v>13.0</v>
      </c>
    </row>
    <row r="10">
      <c r="B10" s="127"/>
      <c r="C10" s="106">
        <v>41.0</v>
      </c>
      <c r="D10" s="127"/>
      <c r="E10" s="128">
        <v>40.0</v>
      </c>
      <c r="H10" s="106">
        <v>26.0</v>
      </c>
      <c r="I10" s="2"/>
      <c r="L10" s="72">
        <v>16.0</v>
      </c>
      <c r="M10" s="2"/>
      <c r="N10" s="4">
        <v>15.0</v>
      </c>
    </row>
    <row r="11">
      <c r="B11" s="127"/>
      <c r="C11" s="106">
        <v>43.0</v>
      </c>
      <c r="D11" s="127"/>
      <c r="E11" s="128">
        <v>42.0</v>
      </c>
      <c r="H11" s="106">
        <v>27.0</v>
      </c>
      <c r="I11" s="2"/>
      <c r="L11" s="72">
        <v>18.0</v>
      </c>
      <c r="M11" s="2"/>
      <c r="N11" s="4">
        <v>17.0</v>
      </c>
    </row>
    <row r="15">
      <c r="M15" s="20">
        <v>43.0</v>
      </c>
    </row>
  </sheetData>
  <mergeCells count="1">
    <mergeCell ref="B1:O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